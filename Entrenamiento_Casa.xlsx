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Datos" sheetId="2" state="hidden" r:id="rId2"/>
    <sheet name="Rutinas" sheetId="3" state="visible" r:id="rId3"/>
    <sheet name="Dashboard" sheetId="4" state="visible" r:id="rId4"/>
    <sheet name="Instrucciones" sheetId="5" state="visible" r:id="rId5"/>
  </sheets>
  <definedNames>
    <definedName name="Dia_Lunes">Datos!$A$2:$A$7</definedName>
    <definedName name="Dia_Martes">Datos!$B$2:$B$7</definedName>
    <definedName name="Dia_Miercoles">Datos!$C$2:$C$7</definedName>
    <definedName name="Dia_Jueves">Datos!$D$2:$D$7</definedName>
    <definedName name="Dia_Viernes">Datos!$E$2:$E$7</definedName>
    <definedName name="Dias_Lookup">Datos!$A$1:$E$1</definedName>
    <definedName name="_xlnm._FilterDatabase" localSheetId="0" hidden="1">'Registro'!$A$11:$H$200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10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color rgb="00333333"/>
      <sz val="11"/>
    </font>
    <font>
      <color rgb="00FFFFFF"/>
      <sz val="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22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2E5090"/>
      </patternFill>
    </fill>
    <fill>
      <patternFill patternType="solid">
        <fgColor rgb="00FDEBD0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5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165" fontId="9" fillId="2" borderId="1" applyAlignment="1" pivotButton="0" quotePrefix="0" xfId="0">
      <alignment horizontal="center" vertical="center" wrapText="1"/>
    </xf>
    <xf numFmtId="3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Sesiones por Día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solidFill>
              <a:srgbClr val="2E5090"/>
            </a:solidFill>
            <a:ln>
              <a:prstDash val="solid"/>
            </a:ln>
          </spPr>
          <cat>
            <numRef>
              <f>'Dashboard'!$B$11:$B$15</f>
            </numRef>
          </cat>
          <val>
            <numRef>
              <f>'Dashboard'!$C$11:$C$15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Sesiones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Rutina</a:t>
            </a:r>
          </a:p>
        </rich>
      </tx>
    </title>
    <plotArea>
      <pieChart>
        <varyColors val="1"/>
        <ser>
          <idx val="0"/>
          <order val="0"/>
          <tx>
            <strRef>
              <f>'Dashboard'!C10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5090"/>
              </a:solidFill>
              <a:ln>
                <a:prstDash val="solid"/>
              </a:ln>
            </spPr>
          </dPt>
          <dPt>
            <idx val="1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2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3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4"/>
            <spPr>
              <a:solidFill>
                <a:srgbClr val="1B2A4A"/>
              </a:solidFill>
              <a:ln>
                <a:prstDash val="solid"/>
              </a:ln>
            </spPr>
          </dPt>
          <cat>
            <numRef>
              <f>'Dashboard'!$B$11:$B$15</f>
            </numRef>
          </cat>
          <val>
            <numRef>
              <f>'Dashboard'!$C$11:$C$15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Peso Levantado por Sesión</a:t>
            </a:r>
          </a:p>
        </rich>
      </tx>
    </title>
    <plotArea>
      <lineChart>
        <grouping val="standard"/>
        <ser>
          <idx val="0"/>
          <order val="0"/>
          <tx>
            <strRef>
              <f>'Registro'!F11</f>
            </strRef>
          </tx>
          <spPr>
            <a:ln w="22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'Registro'!$F$12:$F$200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Entrada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72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E5090"/>
    <outlinePr summaryBelow="1" summaryRight="1"/>
    <pageSetUpPr/>
  </sheetPr>
  <dimension ref="A1:I20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0" customWidth="1" min="4" max="4"/>
    <col width="10" customWidth="1" min="5" max="5"/>
    <col width="12" customWidth="1" min="6" max="6"/>
    <col width="18" customWidth="1" min="7" max="7"/>
    <col width="30" customWidth="1" min="8" max="8"/>
    <col hidden="1" width="0.5" customWidth="1" min="9" max="9"/>
  </cols>
  <sheetData>
    <row r="1">
      <c r="A1" s="1" t="inlineStr">
        <is>
          <t>REGISTRO DE ENTRENAMIENTO EN CASA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Ingresa tus datos de cada sesión. Usa los botones o escribe directamente.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ENTRADA RÁPIDA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Fecha:</t>
        </is>
      </c>
      <c r="B5" s="7" t="inlineStr">
        <is>
          <t>Día/Rutina:</t>
        </is>
      </c>
      <c r="C5" s="7" t="inlineStr">
        <is>
          <t>Ejercicio:</t>
        </is>
      </c>
      <c r="D5" s="7" t="inlineStr">
        <is>
          <t>Series:</t>
        </is>
      </c>
      <c r="E5" s="7" t="inlineStr">
        <is>
          <t>Reps:</t>
        </is>
      </c>
      <c r="F5" s="7" t="inlineStr">
        <is>
          <t>Peso (kg):</t>
        </is>
      </c>
      <c r="G5" s="7" t="inlineStr">
        <is>
          <t>Descanso (seg):</t>
        </is>
      </c>
      <c r="H5" s="7" t="inlineStr">
        <is>
          <t>Notas:</t>
        </is>
      </c>
    </row>
    <row r="6">
      <c r="A6" s="8">
        <f>TODAY()</f>
        <v/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10">
        <f>IF(B6="","",IF(LEFT(B6,5)="Lunes","Dia_Lunes",IF(LEFT(B6,6)="Martes","Dia_Martes",IF(LEFT(B6,4)="Miér","Dia_Miercoles",IF(LEFT(B6,6)="Jueves","Dia_Jueves",IF(LEFT(B6,7)="Viernes","Dia_Viernes",""))))))</f>
        <v/>
      </c>
    </row>
    <row r="8">
      <c r="B8" s="11" t="inlineStr">
        <is>
          <t>▶ REGISTRAR ENTRADA</t>
        </is>
      </c>
      <c r="C8" s="12" t="n"/>
      <c r="E8" s="13" t="inlineStr">
        <is>
          <t>✕ LIMPIAR CAMPOS</t>
        </is>
      </c>
      <c r="F8" s="14" t="n"/>
      <c r="G8" s="15" t="inlineStr">
        <is>
          <t>⟳ DESHACER ÚLTIMO</t>
        </is>
      </c>
      <c r="H8" s="16" t="n"/>
    </row>
    <row r="10">
      <c r="A10" s="17" t="inlineStr">
        <is>
          <t>HISTORIAL DE ENTRENAMIENTOS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18" t="inlineStr">
        <is>
          <t>Fecha</t>
        </is>
      </c>
      <c r="B11" s="18" t="inlineStr">
        <is>
          <t>Día / Rutina</t>
        </is>
      </c>
      <c r="C11" s="18" t="inlineStr">
        <is>
          <t>Ejercicio</t>
        </is>
      </c>
      <c r="D11" s="18" t="inlineStr">
        <is>
          <t>Series</t>
        </is>
      </c>
      <c r="E11" s="18" t="inlineStr">
        <is>
          <t>Reps</t>
        </is>
      </c>
      <c r="F11" s="18" t="inlineStr">
        <is>
          <t>Peso (kg)</t>
        </is>
      </c>
      <c r="G11" s="18" t="inlineStr">
        <is>
          <t>Descanso (s)</t>
        </is>
      </c>
      <c r="H11" s="18" t="inlineStr">
        <is>
          <t>Notas</t>
        </is>
      </c>
    </row>
    <row r="12">
      <c r="A12" s="19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>
      <c r="A13" s="21" t="inlineStr"/>
      <c r="B13" s="22" t="inlineStr"/>
      <c r="C13" s="22" t="inlineStr"/>
      <c r="D13" s="22" t="inlineStr"/>
      <c r="E13" s="22" t="inlineStr"/>
      <c r="F13" s="22" t="inlineStr"/>
      <c r="G13" s="22" t="inlineStr"/>
      <c r="H13" s="22" t="inlineStr"/>
    </row>
    <row r="14">
      <c r="A14" s="19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>
      <c r="A15" s="21" t="inlineStr"/>
      <c r="B15" s="22" t="inlineStr"/>
      <c r="C15" s="22" t="inlineStr"/>
      <c r="D15" s="22" t="inlineStr"/>
      <c r="E15" s="22" t="inlineStr"/>
      <c r="F15" s="22" t="inlineStr"/>
      <c r="G15" s="22" t="inlineStr"/>
      <c r="H15" s="22" t="inlineStr"/>
    </row>
    <row r="16">
      <c r="A16" s="19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>
      <c r="A17" s="21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</row>
    <row r="18">
      <c r="A18" s="19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>
      <c r="A19" s="21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</row>
    <row r="20">
      <c r="A20" s="19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>
      <c r="A21" s="21" t="inlineStr"/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</row>
    <row r="22">
      <c r="A22" s="19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>
      <c r="A23" s="21" t="inlineStr"/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>
      <c r="A24" s="19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>
      <c r="A25" s="21" t="inlineStr"/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</row>
    <row r="26">
      <c r="A26" s="19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>
      <c r="A27" s="21" t="inlineStr"/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>
      <c r="A28" s="19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>
      <c r="A29" s="21" t="inlineStr"/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</row>
    <row r="30">
      <c r="A30" s="19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>
      <c r="A31" s="21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</row>
    <row r="32">
      <c r="A32" s="19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>
      <c r="A33" s="21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</row>
    <row r="34">
      <c r="A34" s="19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>
      <c r="A35" s="21" t="inlineStr"/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</row>
    <row r="36">
      <c r="A36" s="19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>
      <c r="A37" s="21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</row>
    <row r="38">
      <c r="A38" s="19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>
      <c r="A39" s="21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</row>
    <row r="40">
      <c r="A40" s="19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>
      <c r="A41" s="21" t="inlineStr"/>
      <c r="B41" s="22" t="inlineStr"/>
      <c r="C41" s="22" t="inlineStr"/>
      <c r="D41" s="22" t="inlineStr"/>
      <c r="E41" s="22" t="inlineStr"/>
      <c r="F41" s="22" t="inlineStr"/>
      <c r="G41" s="22" t="inlineStr"/>
      <c r="H41" s="22" t="inlineStr"/>
    </row>
    <row r="42">
      <c r="A42" s="19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>
      <c r="A43" s="21" t="inlineStr"/>
      <c r="B43" s="22" t="inlineStr"/>
      <c r="C43" s="22" t="inlineStr"/>
      <c r="D43" s="22" t="inlineStr"/>
      <c r="E43" s="22" t="inlineStr"/>
      <c r="F43" s="22" t="inlineStr"/>
      <c r="G43" s="22" t="inlineStr"/>
      <c r="H43" s="22" t="inlineStr"/>
    </row>
    <row r="44">
      <c r="A44" s="19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>
      <c r="A45" s="21" t="inlineStr"/>
      <c r="B45" s="22" t="inlineStr"/>
      <c r="C45" s="22" t="inlineStr"/>
      <c r="D45" s="22" t="inlineStr"/>
      <c r="E45" s="22" t="inlineStr"/>
      <c r="F45" s="22" t="inlineStr"/>
      <c r="G45" s="22" t="inlineStr"/>
      <c r="H45" s="22" t="inlineStr"/>
    </row>
    <row r="46">
      <c r="A46" s="19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>
      <c r="A47" s="21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</row>
    <row r="48">
      <c r="A48" s="19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>
      <c r="A49" s="21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>
      <c r="A50" s="19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>
      <c r="A51" s="21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</row>
    <row r="52">
      <c r="A52" s="19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>
      <c r="A53" s="21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</row>
    <row r="54">
      <c r="A54" s="19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>
      <c r="A55" s="21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>
      <c r="A56" s="19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>
      <c r="A57" s="21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</row>
    <row r="58">
      <c r="A58" s="19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>
      <c r="A59" s="21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</row>
    <row r="60">
      <c r="A60" s="19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>
      <c r="A61" s="21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</row>
    <row r="62">
      <c r="A62" s="19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>
      <c r="A63" s="21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</row>
    <row r="64">
      <c r="A64" s="19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>
      <c r="A65" s="21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</row>
    <row r="66">
      <c r="A66" s="19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>
      <c r="A67" s="21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>
      <c r="A68" s="19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>
      <c r="A69" s="21" t="inlineStr"/>
      <c r="B69" s="22" t="inlineStr"/>
      <c r="C69" s="22" t="inlineStr"/>
      <c r="D69" s="22" t="inlineStr"/>
      <c r="E69" s="22" t="inlineStr"/>
      <c r="F69" s="22" t="inlineStr"/>
      <c r="G69" s="22" t="inlineStr"/>
      <c r="H69" s="22" t="inlineStr"/>
    </row>
    <row r="70">
      <c r="A70" s="19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>
      <c r="A71" s="21" t="inlineStr"/>
      <c r="B71" s="22" t="inlineStr"/>
      <c r="C71" s="22" t="inlineStr"/>
      <c r="D71" s="22" t="inlineStr"/>
      <c r="E71" s="22" t="inlineStr"/>
      <c r="F71" s="22" t="inlineStr"/>
      <c r="G71" s="22" t="inlineStr"/>
      <c r="H71" s="22" t="inlineStr"/>
    </row>
    <row r="72">
      <c r="A72" s="19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>
      <c r="A73" s="21" t="inlineStr"/>
      <c r="B73" s="22" t="inlineStr"/>
      <c r="C73" s="22" t="inlineStr"/>
      <c r="D73" s="22" t="inlineStr"/>
      <c r="E73" s="22" t="inlineStr"/>
      <c r="F73" s="22" t="inlineStr"/>
      <c r="G73" s="22" t="inlineStr"/>
      <c r="H73" s="22" t="inlineStr"/>
    </row>
    <row r="74">
      <c r="A74" s="19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>
      <c r="A75" s="21" t="inlineStr"/>
      <c r="B75" s="22" t="inlineStr"/>
      <c r="C75" s="22" t="inlineStr"/>
      <c r="D75" s="22" t="inlineStr"/>
      <c r="E75" s="22" t="inlineStr"/>
      <c r="F75" s="22" t="inlineStr"/>
      <c r="G75" s="22" t="inlineStr"/>
      <c r="H75" s="22" t="inlineStr"/>
    </row>
    <row r="76">
      <c r="A76" s="19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>
      <c r="A77" s="21" t="inlineStr"/>
      <c r="B77" s="22" t="inlineStr"/>
      <c r="C77" s="22" t="inlineStr"/>
      <c r="D77" s="22" t="inlineStr"/>
      <c r="E77" s="22" t="inlineStr"/>
      <c r="F77" s="22" t="inlineStr"/>
      <c r="G77" s="22" t="inlineStr"/>
      <c r="H77" s="22" t="inlineStr"/>
    </row>
    <row r="78">
      <c r="A78" s="19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>
      <c r="A79" s="21" t="inlineStr"/>
      <c r="B79" s="22" t="inlineStr"/>
      <c r="C79" s="22" t="inlineStr"/>
      <c r="D79" s="22" t="inlineStr"/>
      <c r="E79" s="22" t="inlineStr"/>
      <c r="F79" s="22" t="inlineStr"/>
      <c r="G79" s="22" t="inlineStr"/>
      <c r="H79" s="22" t="inlineStr"/>
    </row>
    <row r="80">
      <c r="A80" s="19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>
      <c r="A81" s="21" t="inlineStr"/>
      <c r="B81" s="22" t="inlineStr"/>
      <c r="C81" s="22" t="inlineStr"/>
      <c r="D81" s="22" t="inlineStr"/>
      <c r="E81" s="22" t="inlineStr"/>
      <c r="F81" s="22" t="inlineStr"/>
      <c r="G81" s="22" t="inlineStr"/>
      <c r="H81" s="22" t="inlineStr"/>
    </row>
    <row r="82">
      <c r="A82" s="19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>
      <c r="A83" s="21" t="inlineStr"/>
      <c r="B83" s="22" t="inlineStr"/>
      <c r="C83" s="22" t="inlineStr"/>
      <c r="D83" s="22" t="inlineStr"/>
      <c r="E83" s="22" t="inlineStr"/>
      <c r="F83" s="22" t="inlineStr"/>
      <c r="G83" s="22" t="inlineStr"/>
      <c r="H83" s="22" t="inlineStr"/>
    </row>
    <row r="84">
      <c r="A84" s="19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>
      <c r="A85" s="21" t="inlineStr"/>
      <c r="B85" s="22" t="inlineStr"/>
      <c r="C85" s="22" t="inlineStr"/>
      <c r="D85" s="22" t="inlineStr"/>
      <c r="E85" s="22" t="inlineStr"/>
      <c r="F85" s="22" t="inlineStr"/>
      <c r="G85" s="22" t="inlineStr"/>
      <c r="H85" s="22" t="inlineStr"/>
    </row>
    <row r="86">
      <c r="A86" s="19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>
      <c r="A87" s="21" t="inlineStr"/>
      <c r="B87" s="22" t="inlineStr"/>
      <c r="C87" s="22" t="inlineStr"/>
      <c r="D87" s="22" t="inlineStr"/>
      <c r="E87" s="22" t="inlineStr"/>
      <c r="F87" s="22" t="inlineStr"/>
      <c r="G87" s="22" t="inlineStr"/>
      <c r="H87" s="22" t="inlineStr"/>
    </row>
    <row r="88">
      <c r="A88" s="19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>
      <c r="A89" s="21" t="inlineStr"/>
      <c r="B89" s="22" t="inlineStr"/>
      <c r="C89" s="22" t="inlineStr"/>
      <c r="D89" s="22" t="inlineStr"/>
      <c r="E89" s="22" t="inlineStr"/>
      <c r="F89" s="22" t="inlineStr"/>
      <c r="G89" s="22" t="inlineStr"/>
      <c r="H89" s="22" t="inlineStr"/>
    </row>
    <row r="90">
      <c r="A90" s="19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>
      <c r="A91" s="21" t="inlineStr"/>
      <c r="B91" s="22" t="inlineStr"/>
      <c r="C91" s="22" t="inlineStr"/>
      <c r="D91" s="22" t="inlineStr"/>
      <c r="E91" s="22" t="inlineStr"/>
      <c r="F91" s="22" t="inlineStr"/>
      <c r="G91" s="22" t="inlineStr"/>
      <c r="H91" s="22" t="inlineStr"/>
    </row>
    <row r="92">
      <c r="A92" s="19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>
      <c r="A93" s="21" t="inlineStr"/>
      <c r="B93" s="22" t="inlineStr"/>
      <c r="C93" s="22" t="inlineStr"/>
      <c r="D93" s="22" t="inlineStr"/>
      <c r="E93" s="22" t="inlineStr"/>
      <c r="F93" s="22" t="inlineStr"/>
      <c r="G93" s="22" t="inlineStr"/>
      <c r="H93" s="22" t="inlineStr"/>
    </row>
    <row r="94">
      <c r="A94" s="19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>
      <c r="A95" s="21" t="inlineStr"/>
      <c r="B95" s="22" t="inlineStr"/>
      <c r="C95" s="22" t="inlineStr"/>
      <c r="D95" s="22" t="inlineStr"/>
      <c r="E95" s="22" t="inlineStr"/>
      <c r="F95" s="22" t="inlineStr"/>
      <c r="G95" s="22" t="inlineStr"/>
      <c r="H95" s="22" t="inlineStr"/>
    </row>
    <row r="96">
      <c r="A96" s="19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>
      <c r="A97" s="21" t="inlineStr"/>
      <c r="B97" s="22" t="inlineStr"/>
      <c r="C97" s="22" t="inlineStr"/>
      <c r="D97" s="22" t="inlineStr"/>
      <c r="E97" s="22" t="inlineStr"/>
      <c r="F97" s="22" t="inlineStr"/>
      <c r="G97" s="22" t="inlineStr"/>
      <c r="H97" s="22" t="inlineStr"/>
    </row>
    <row r="98">
      <c r="A98" s="19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>
      <c r="A99" s="21" t="inlineStr"/>
      <c r="B99" s="22" t="inlineStr"/>
      <c r="C99" s="22" t="inlineStr"/>
      <c r="D99" s="22" t="inlineStr"/>
      <c r="E99" s="22" t="inlineStr"/>
      <c r="F99" s="22" t="inlineStr"/>
      <c r="G99" s="22" t="inlineStr"/>
      <c r="H99" s="22" t="inlineStr"/>
    </row>
    <row r="100">
      <c r="A100" s="19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>
      <c r="A101" s="21" t="inlineStr"/>
      <c r="B101" s="22" t="inlineStr"/>
      <c r="C101" s="22" t="inlineStr"/>
      <c r="D101" s="22" t="inlineStr"/>
      <c r="E101" s="22" t="inlineStr"/>
      <c r="F101" s="22" t="inlineStr"/>
      <c r="G101" s="22" t="inlineStr"/>
      <c r="H101" s="22" t="inlineStr"/>
    </row>
    <row r="102">
      <c r="A102" s="19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>
      <c r="A103" s="21" t="inlineStr"/>
      <c r="B103" s="22" t="inlineStr"/>
      <c r="C103" s="22" t="inlineStr"/>
      <c r="D103" s="22" t="inlineStr"/>
      <c r="E103" s="22" t="inlineStr"/>
      <c r="F103" s="22" t="inlineStr"/>
      <c r="G103" s="22" t="inlineStr"/>
      <c r="H103" s="22" t="inlineStr"/>
    </row>
    <row r="104">
      <c r="A104" s="19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>
      <c r="A105" s="21" t="inlineStr"/>
      <c r="B105" s="22" t="inlineStr"/>
      <c r="C105" s="22" t="inlineStr"/>
      <c r="D105" s="22" t="inlineStr"/>
      <c r="E105" s="22" t="inlineStr"/>
      <c r="F105" s="22" t="inlineStr"/>
      <c r="G105" s="22" t="inlineStr"/>
      <c r="H105" s="22" t="inlineStr"/>
    </row>
    <row r="106">
      <c r="A106" s="19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</row>
    <row r="107">
      <c r="A107" s="21" t="inlineStr"/>
      <c r="B107" s="22" t="inlineStr"/>
      <c r="C107" s="22" t="inlineStr"/>
      <c r="D107" s="22" t="inlineStr"/>
      <c r="E107" s="22" t="inlineStr"/>
      <c r="F107" s="22" t="inlineStr"/>
      <c r="G107" s="22" t="inlineStr"/>
      <c r="H107" s="22" t="inlineStr"/>
    </row>
    <row r="108">
      <c r="A108" s="19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</row>
    <row r="109">
      <c r="A109" s="21" t="inlineStr"/>
      <c r="B109" s="22" t="inlineStr"/>
      <c r="C109" s="22" t="inlineStr"/>
      <c r="D109" s="22" t="inlineStr"/>
      <c r="E109" s="22" t="inlineStr"/>
      <c r="F109" s="22" t="inlineStr"/>
      <c r="G109" s="22" t="inlineStr"/>
      <c r="H109" s="22" t="inlineStr"/>
    </row>
    <row r="110">
      <c r="A110" s="19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</row>
    <row r="111">
      <c r="A111" s="21" t="inlineStr"/>
      <c r="B111" s="22" t="inlineStr"/>
      <c r="C111" s="22" t="inlineStr"/>
      <c r="D111" s="22" t="inlineStr"/>
      <c r="E111" s="22" t="inlineStr"/>
      <c r="F111" s="22" t="inlineStr"/>
      <c r="G111" s="22" t="inlineStr"/>
      <c r="H111" s="22" t="inlineStr"/>
    </row>
    <row r="112">
      <c r="A112" s="19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</row>
    <row r="113">
      <c r="A113" s="21" t="inlineStr"/>
      <c r="B113" s="22" t="inlineStr"/>
      <c r="C113" s="22" t="inlineStr"/>
      <c r="D113" s="22" t="inlineStr"/>
      <c r="E113" s="22" t="inlineStr"/>
      <c r="F113" s="22" t="inlineStr"/>
      <c r="G113" s="22" t="inlineStr"/>
      <c r="H113" s="22" t="inlineStr"/>
    </row>
    <row r="114">
      <c r="A114" s="19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</row>
    <row r="115">
      <c r="A115" s="21" t="inlineStr"/>
      <c r="B115" s="22" t="inlineStr"/>
      <c r="C115" s="22" t="inlineStr"/>
      <c r="D115" s="22" t="inlineStr"/>
      <c r="E115" s="22" t="inlineStr"/>
      <c r="F115" s="22" t="inlineStr"/>
      <c r="G115" s="22" t="inlineStr"/>
      <c r="H115" s="22" t="inlineStr"/>
    </row>
    <row r="116">
      <c r="A116" s="19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</row>
    <row r="117">
      <c r="A117" s="21" t="inlineStr"/>
      <c r="B117" s="22" t="inlineStr"/>
      <c r="C117" s="22" t="inlineStr"/>
      <c r="D117" s="22" t="inlineStr"/>
      <c r="E117" s="22" t="inlineStr"/>
      <c r="F117" s="22" t="inlineStr"/>
      <c r="G117" s="22" t="inlineStr"/>
      <c r="H117" s="22" t="inlineStr"/>
    </row>
    <row r="118">
      <c r="A118" s="19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</row>
    <row r="119">
      <c r="A119" s="21" t="inlineStr"/>
      <c r="B119" s="22" t="inlineStr"/>
      <c r="C119" s="22" t="inlineStr"/>
      <c r="D119" s="22" t="inlineStr"/>
      <c r="E119" s="22" t="inlineStr"/>
      <c r="F119" s="22" t="inlineStr"/>
      <c r="G119" s="22" t="inlineStr"/>
      <c r="H119" s="22" t="inlineStr"/>
    </row>
    <row r="120">
      <c r="A120" s="19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</row>
    <row r="121">
      <c r="A121" s="21" t="inlineStr"/>
      <c r="B121" s="22" t="inlineStr"/>
      <c r="C121" s="22" t="inlineStr"/>
      <c r="D121" s="22" t="inlineStr"/>
      <c r="E121" s="22" t="inlineStr"/>
      <c r="F121" s="22" t="inlineStr"/>
      <c r="G121" s="22" t="inlineStr"/>
      <c r="H121" s="22" t="inlineStr"/>
    </row>
    <row r="122">
      <c r="A122" s="19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</row>
    <row r="123">
      <c r="A123" s="21" t="inlineStr"/>
      <c r="B123" s="22" t="inlineStr"/>
      <c r="C123" s="22" t="inlineStr"/>
      <c r="D123" s="22" t="inlineStr"/>
      <c r="E123" s="22" t="inlineStr"/>
      <c r="F123" s="22" t="inlineStr"/>
      <c r="G123" s="22" t="inlineStr"/>
      <c r="H123" s="22" t="inlineStr"/>
    </row>
    <row r="124">
      <c r="A124" s="19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</row>
    <row r="125">
      <c r="A125" s="21" t="inlineStr"/>
      <c r="B125" s="22" t="inlineStr"/>
      <c r="C125" s="22" t="inlineStr"/>
      <c r="D125" s="22" t="inlineStr"/>
      <c r="E125" s="22" t="inlineStr"/>
      <c r="F125" s="22" t="inlineStr"/>
      <c r="G125" s="22" t="inlineStr"/>
      <c r="H125" s="22" t="inlineStr"/>
    </row>
    <row r="126">
      <c r="A126" s="19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</row>
    <row r="127">
      <c r="A127" s="21" t="inlineStr"/>
      <c r="B127" s="22" t="inlineStr"/>
      <c r="C127" s="22" t="inlineStr"/>
      <c r="D127" s="22" t="inlineStr"/>
      <c r="E127" s="22" t="inlineStr"/>
      <c r="F127" s="22" t="inlineStr"/>
      <c r="G127" s="22" t="inlineStr"/>
      <c r="H127" s="22" t="inlineStr"/>
    </row>
    <row r="128">
      <c r="A128" s="19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</row>
    <row r="129">
      <c r="A129" s="21" t="inlineStr"/>
      <c r="B129" s="22" t="inlineStr"/>
      <c r="C129" s="22" t="inlineStr"/>
      <c r="D129" s="22" t="inlineStr"/>
      <c r="E129" s="22" t="inlineStr"/>
      <c r="F129" s="22" t="inlineStr"/>
      <c r="G129" s="22" t="inlineStr"/>
      <c r="H129" s="22" t="inlineStr"/>
    </row>
    <row r="130">
      <c r="A130" s="19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</row>
    <row r="131">
      <c r="A131" s="21" t="inlineStr"/>
      <c r="B131" s="22" t="inlineStr"/>
      <c r="C131" s="22" t="inlineStr"/>
      <c r="D131" s="22" t="inlineStr"/>
      <c r="E131" s="22" t="inlineStr"/>
      <c r="F131" s="22" t="inlineStr"/>
      <c r="G131" s="22" t="inlineStr"/>
      <c r="H131" s="22" t="inlineStr"/>
    </row>
    <row r="132">
      <c r="A132" s="19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</row>
    <row r="133">
      <c r="A133" s="21" t="inlineStr"/>
      <c r="B133" s="22" t="inlineStr"/>
      <c r="C133" s="22" t="inlineStr"/>
      <c r="D133" s="22" t="inlineStr"/>
      <c r="E133" s="22" t="inlineStr"/>
      <c r="F133" s="22" t="inlineStr"/>
      <c r="G133" s="22" t="inlineStr"/>
      <c r="H133" s="22" t="inlineStr"/>
    </row>
    <row r="134">
      <c r="A134" s="19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</row>
    <row r="135">
      <c r="A135" s="21" t="inlineStr"/>
      <c r="B135" s="22" t="inlineStr"/>
      <c r="C135" s="22" t="inlineStr"/>
      <c r="D135" s="22" t="inlineStr"/>
      <c r="E135" s="22" t="inlineStr"/>
      <c r="F135" s="22" t="inlineStr"/>
      <c r="G135" s="22" t="inlineStr"/>
      <c r="H135" s="22" t="inlineStr"/>
    </row>
    <row r="136">
      <c r="A136" s="19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</row>
    <row r="137">
      <c r="A137" s="21" t="inlineStr"/>
      <c r="B137" s="22" t="inlineStr"/>
      <c r="C137" s="22" t="inlineStr"/>
      <c r="D137" s="22" t="inlineStr"/>
      <c r="E137" s="22" t="inlineStr"/>
      <c r="F137" s="22" t="inlineStr"/>
      <c r="G137" s="22" t="inlineStr"/>
      <c r="H137" s="22" t="inlineStr"/>
    </row>
    <row r="138">
      <c r="A138" s="19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</row>
    <row r="139">
      <c r="A139" s="21" t="inlineStr"/>
      <c r="B139" s="22" t="inlineStr"/>
      <c r="C139" s="22" t="inlineStr"/>
      <c r="D139" s="22" t="inlineStr"/>
      <c r="E139" s="22" t="inlineStr"/>
      <c r="F139" s="22" t="inlineStr"/>
      <c r="G139" s="22" t="inlineStr"/>
      <c r="H139" s="22" t="inlineStr"/>
    </row>
    <row r="140">
      <c r="A140" s="19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</row>
    <row r="141">
      <c r="A141" s="21" t="inlineStr"/>
      <c r="B141" s="22" t="inlineStr"/>
      <c r="C141" s="22" t="inlineStr"/>
      <c r="D141" s="22" t="inlineStr"/>
      <c r="E141" s="22" t="inlineStr"/>
      <c r="F141" s="22" t="inlineStr"/>
      <c r="G141" s="22" t="inlineStr"/>
      <c r="H141" s="22" t="inlineStr"/>
    </row>
    <row r="142">
      <c r="A142" s="19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</row>
    <row r="143">
      <c r="A143" s="21" t="inlineStr"/>
      <c r="B143" s="22" t="inlineStr"/>
      <c r="C143" s="22" t="inlineStr"/>
      <c r="D143" s="22" t="inlineStr"/>
      <c r="E143" s="22" t="inlineStr"/>
      <c r="F143" s="22" t="inlineStr"/>
      <c r="G143" s="22" t="inlineStr"/>
      <c r="H143" s="22" t="inlineStr"/>
    </row>
    <row r="144">
      <c r="A144" s="19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</row>
    <row r="145">
      <c r="A145" s="21" t="inlineStr"/>
      <c r="B145" s="22" t="inlineStr"/>
      <c r="C145" s="22" t="inlineStr"/>
      <c r="D145" s="22" t="inlineStr"/>
      <c r="E145" s="22" t="inlineStr"/>
      <c r="F145" s="22" t="inlineStr"/>
      <c r="G145" s="22" t="inlineStr"/>
      <c r="H145" s="22" t="inlineStr"/>
    </row>
    <row r="146">
      <c r="A146" s="19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</row>
    <row r="147">
      <c r="A147" s="21" t="inlineStr"/>
      <c r="B147" s="22" t="inlineStr"/>
      <c r="C147" s="22" t="inlineStr"/>
      <c r="D147" s="22" t="inlineStr"/>
      <c r="E147" s="22" t="inlineStr"/>
      <c r="F147" s="22" t="inlineStr"/>
      <c r="G147" s="22" t="inlineStr"/>
      <c r="H147" s="22" t="inlineStr"/>
    </row>
    <row r="148">
      <c r="A148" s="19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</row>
    <row r="149">
      <c r="A149" s="21" t="inlineStr"/>
      <c r="B149" s="22" t="inlineStr"/>
      <c r="C149" s="22" t="inlineStr"/>
      <c r="D149" s="22" t="inlineStr"/>
      <c r="E149" s="22" t="inlineStr"/>
      <c r="F149" s="22" t="inlineStr"/>
      <c r="G149" s="22" t="inlineStr"/>
      <c r="H149" s="22" t="inlineStr"/>
    </row>
    <row r="150">
      <c r="A150" s="19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</row>
    <row r="151">
      <c r="A151" s="21" t="inlineStr"/>
      <c r="B151" s="22" t="inlineStr"/>
      <c r="C151" s="22" t="inlineStr"/>
      <c r="D151" s="22" t="inlineStr"/>
      <c r="E151" s="22" t="inlineStr"/>
      <c r="F151" s="22" t="inlineStr"/>
      <c r="G151" s="22" t="inlineStr"/>
      <c r="H151" s="22" t="inlineStr"/>
    </row>
    <row r="152">
      <c r="A152" s="19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</row>
    <row r="153">
      <c r="A153" s="21" t="inlineStr"/>
      <c r="B153" s="22" t="inlineStr"/>
      <c r="C153" s="22" t="inlineStr"/>
      <c r="D153" s="22" t="inlineStr"/>
      <c r="E153" s="22" t="inlineStr"/>
      <c r="F153" s="22" t="inlineStr"/>
      <c r="G153" s="22" t="inlineStr"/>
      <c r="H153" s="22" t="inlineStr"/>
    </row>
    <row r="154">
      <c r="A154" s="19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</row>
    <row r="155">
      <c r="A155" s="21" t="inlineStr"/>
      <c r="B155" s="22" t="inlineStr"/>
      <c r="C155" s="22" t="inlineStr"/>
      <c r="D155" s="22" t="inlineStr"/>
      <c r="E155" s="22" t="inlineStr"/>
      <c r="F155" s="22" t="inlineStr"/>
      <c r="G155" s="22" t="inlineStr"/>
      <c r="H155" s="22" t="inlineStr"/>
    </row>
    <row r="156">
      <c r="A156" s="19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</row>
    <row r="157">
      <c r="A157" s="21" t="inlineStr"/>
      <c r="B157" s="22" t="inlineStr"/>
      <c r="C157" s="22" t="inlineStr"/>
      <c r="D157" s="22" t="inlineStr"/>
      <c r="E157" s="22" t="inlineStr"/>
      <c r="F157" s="22" t="inlineStr"/>
      <c r="G157" s="22" t="inlineStr"/>
      <c r="H157" s="22" t="inlineStr"/>
    </row>
    <row r="158">
      <c r="A158" s="19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</row>
    <row r="159">
      <c r="A159" s="21" t="inlineStr"/>
      <c r="B159" s="22" t="inlineStr"/>
      <c r="C159" s="22" t="inlineStr"/>
      <c r="D159" s="22" t="inlineStr"/>
      <c r="E159" s="22" t="inlineStr"/>
      <c r="F159" s="22" t="inlineStr"/>
      <c r="G159" s="22" t="inlineStr"/>
      <c r="H159" s="22" t="inlineStr"/>
    </row>
    <row r="160">
      <c r="A160" s="19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</row>
    <row r="161">
      <c r="A161" s="21" t="inlineStr"/>
      <c r="B161" s="22" t="inlineStr"/>
      <c r="C161" s="22" t="inlineStr"/>
      <c r="D161" s="22" t="inlineStr"/>
      <c r="E161" s="22" t="inlineStr"/>
      <c r="F161" s="22" t="inlineStr"/>
      <c r="G161" s="22" t="inlineStr"/>
      <c r="H161" s="22" t="inlineStr"/>
    </row>
    <row r="162">
      <c r="A162" s="19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</row>
    <row r="163">
      <c r="A163" s="21" t="inlineStr"/>
      <c r="B163" s="22" t="inlineStr"/>
      <c r="C163" s="22" t="inlineStr"/>
      <c r="D163" s="22" t="inlineStr"/>
      <c r="E163" s="22" t="inlineStr"/>
      <c r="F163" s="22" t="inlineStr"/>
      <c r="G163" s="22" t="inlineStr"/>
      <c r="H163" s="22" t="inlineStr"/>
    </row>
    <row r="164">
      <c r="A164" s="19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</row>
    <row r="165">
      <c r="A165" s="21" t="inlineStr"/>
      <c r="B165" s="22" t="inlineStr"/>
      <c r="C165" s="22" t="inlineStr"/>
      <c r="D165" s="22" t="inlineStr"/>
      <c r="E165" s="22" t="inlineStr"/>
      <c r="F165" s="22" t="inlineStr"/>
      <c r="G165" s="22" t="inlineStr"/>
      <c r="H165" s="22" t="inlineStr"/>
    </row>
    <row r="166">
      <c r="A166" s="19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</row>
    <row r="167">
      <c r="A167" s="21" t="inlineStr"/>
      <c r="B167" s="22" t="inlineStr"/>
      <c r="C167" s="22" t="inlineStr"/>
      <c r="D167" s="22" t="inlineStr"/>
      <c r="E167" s="22" t="inlineStr"/>
      <c r="F167" s="22" t="inlineStr"/>
      <c r="G167" s="22" t="inlineStr"/>
      <c r="H167" s="22" t="inlineStr"/>
    </row>
    <row r="168">
      <c r="A168" s="19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</row>
    <row r="169">
      <c r="A169" s="21" t="inlineStr"/>
      <c r="B169" s="22" t="inlineStr"/>
      <c r="C169" s="22" t="inlineStr"/>
      <c r="D169" s="22" t="inlineStr"/>
      <c r="E169" s="22" t="inlineStr"/>
      <c r="F169" s="22" t="inlineStr"/>
      <c r="G169" s="22" t="inlineStr"/>
      <c r="H169" s="22" t="inlineStr"/>
    </row>
    <row r="170">
      <c r="A170" s="19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</row>
    <row r="171">
      <c r="A171" s="21" t="inlineStr"/>
      <c r="B171" s="22" t="inlineStr"/>
      <c r="C171" s="22" t="inlineStr"/>
      <c r="D171" s="22" t="inlineStr"/>
      <c r="E171" s="22" t="inlineStr"/>
      <c r="F171" s="22" t="inlineStr"/>
      <c r="G171" s="22" t="inlineStr"/>
      <c r="H171" s="22" t="inlineStr"/>
    </row>
    <row r="172">
      <c r="A172" s="19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</row>
    <row r="173">
      <c r="A173" s="21" t="inlineStr"/>
      <c r="B173" s="22" t="inlineStr"/>
      <c r="C173" s="22" t="inlineStr"/>
      <c r="D173" s="22" t="inlineStr"/>
      <c r="E173" s="22" t="inlineStr"/>
      <c r="F173" s="22" t="inlineStr"/>
      <c r="G173" s="22" t="inlineStr"/>
      <c r="H173" s="22" t="inlineStr"/>
    </row>
    <row r="174">
      <c r="A174" s="19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</row>
    <row r="175">
      <c r="A175" s="21" t="inlineStr"/>
      <c r="B175" s="22" t="inlineStr"/>
      <c r="C175" s="22" t="inlineStr"/>
      <c r="D175" s="22" t="inlineStr"/>
      <c r="E175" s="22" t="inlineStr"/>
      <c r="F175" s="22" t="inlineStr"/>
      <c r="G175" s="22" t="inlineStr"/>
      <c r="H175" s="22" t="inlineStr"/>
    </row>
    <row r="176">
      <c r="A176" s="19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</row>
    <row r="177">
      <c r="A177" s="21" t="inlineStr"/>
      <c r="B177" s="22" t="inlineStr"/>
      <c r="C177" s="22" t="inlineStr"/>
      <c r="D177" s="22" t="inlineStr"/>
      <c r="E177" s="22" t="inlineStr"/>
      <c r="F177" s="22" t="inlineStr"/>
      <c r="G177" s="22" t="inlineStr"/>
      <c r="H177" s="22" t="inlineStr"/>
    </row>
    <row r="178">
      <c r="A178" s="19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</row>
    <row r="179">
      <c r="A179" s="21" t="inlineStr"/>
      <c r="B179" s="22" t="inlineStr"/>
      <c r="C179" s="22" t="inlineStr"/>
      <c r="D179" s="22" t="inlineStr"/>
      <c r="E179" s="22" t="inlineStr"/>
      <c r="F179" s="22" t="inlineStr"/>
      <c r="G179" s="22" t="inlineStr"/>
      <c r="H179" s="22" t="inlineStr"/>
    </row>
    <row r="180">
      <c r="A180" s="19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</row>
    <row r="181">
      <c r="A181" s="21" t="inlineStr"/>
      <c r="B181" s="22" t="inlineStr"/>
      <c r="C181" s="22" t="inlineStr"/>
      <c r="D181" s="22" t="inlineStr"/>
      <c r="E181" s="22" t="inlineStr"/>
      <c r="F181" s="22" t="inlineStr"/>
      <c r="G181" s="22" t="inlineStr"/>
      <c r="H181" s="22" t="inlineStr"/>
    </row>
    <row r="182">
      <c r="A182" s="19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</row>
    <row r="183">
      <c r="A183" s="21" t="inlineStr"/>
      <c r="B183" s="22" t="inlineStr"/>
      <c r="C183" s="22" t="inlineStr"/>
      <c r="D183" s="22" t="inlineStr"/>
      <c r="E183" s="22" t="inlineStr"/>
      <c r="F183" s="22" t="inlineStr"/>
      <c r="G183" s="22" t="inlineStr"/>
      <c r="H183" s="22" t="inlineStr"/>
    </row>
    <row r="184">
      <c r="A184" s="19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</row>
    <row r="185">
      <c r="A185" s="21" t="inlineStr"/>
      <c r="B185" s="22" t="inlineStr"/>
      <c r="C185" s="22" t="inlineStr"/>
      <c r="D185" s="22" t="inlineStr"/>
      <c r="E185" s="22" t="inlineStr"/>
      <c r="F185" s="22" t="inlineStr"/>
      <c r="G185" s="22" t="inlineStr"/>
      <c r="H185" s="22" t="inlineStr"/>
    </row>
    <row r="186">
      <c r="A186" s="19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</row>
    <row r="187">
      <c r="A187" s="21" t="inlineStr"/>
      <c r="B187" s="22" t="inlineStr"/>
      <c r="C187" s="22" t="inlineStr"/>
      <c r="D187" s="22" t="inlineStr"/>
      <c r="E187" s="22" t="inlineStr"/>
      <c r="F187" s="22" t="inlineStr"/>
      <c r="G187" s="22" t="inlineStr"/>
      <c r="H187" s="22" t="inlineStr"/>
    </row>
    <row r="188">
      <c r="A188" s="19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</row>
    <row r="189">
      <c r="A189" s="21" t="inlineStr"/>
      <c r="B189" s="22" t="inlineStr"/>
      <c r="C189" s="22" t="inlineStr"/>
      <c r="D189" s="22" t="inlineStr"/>
      <c r="E189" s="22" t="inlineStr"/>
      <c r="F189" s="22" t="inlineStr"/>
      <c r="G189" s="22" t="inlineStr"/>
      <c r="H189" s="22" t="inlineStr"/>
    </row>
    <row r="190">
      <c r="A190" s="19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</row>
    <row r="191">
      <c r="A191" s="21" t="inlineStr"/>
      <c r="B191" s="22" t="inlineStr"/>
      <c r="C191" s="22" t="inlineStr"/>
      <c r="D191" s="22" t="inlineStr"/>
      <c r="E191" s="22" t="inlineStr"/>
      <c r="F191" s="22" t="inlineStr"/>
      <c r="G191" s="22" t="inlineStr"/>
      <c r="H191" s="22" t="inlineStr"/>
    </row>
    <row r="192">
      <c r="A192" s="19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</row>
    <row r="193">
      <c r="A193" s="21" t="inlineStr"/>
      <c r="B193" s="22" t="inlineStr"/>
      <c r="C193" s="22" t="inlineStr"/>
      <c r="D193" s="22" t="inlineStr"/>
      <c r="E193" s="22" t="inlineStr"/>
      <c r="F193" s="22" t="inlineStr"/>
      <c r="G193" s="22" t="inlineStr"/>
      <c r="H193" s="22" t="inlineStr"/>
    </row>
    <row r="194">
      <c r="A194" s="19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</row>
    <row r="195">
      <c r="A195" s="21" t="inlineStr"/>
      <c r="B195" s="22" t="inlineStr"/>
      <c r="C195" s="22" t="inlineStr"/>
      <c r="D195" s="22" t="inlineStr"/>
      <c r="E195" s="22" t="inlineStr"/>
      <c r="F195" s="22" t="inlineStr"/>
      <c r="G195" s="22" t="inlineStr"/>
      <c r="H195" s="22" t="inlineStr"/>
    </row>
    <row r="196">
      <c r="A196" s="19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</row>
    <row r="197">
      <c r="A197" s="21" t="inlineStr"/>
      <c r="B197" s="22" t="inlineStr"/>
      <c r="C197" s="22" t="inlineStr"/>
      <c r="D197" s="22" t="inlineStr"/>
      <c r="E197" s="22" t="inlineStr"/>
      <c r="F197" s="22" t="inlineStr"/>
      <c r="G197" s="22" t="inlineStr"/>
      <c r="H197" s="22" t="inlineStr"/>
    </row>
    <row r="198">
      <c r="A198" s="19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</row>
    <row r="199">
      <c r="A199" s="21" t="inlineStr"/>
      <c r="B199" s="22" t="inlineStr"/>
      <c r="C199" s="22" t="inlineStr"/>
      <c r="D199" s="22" t="inlineStr"/>
      <c r="E199" s="22" t="inlineStr"/>
      <c r="F199" s="22" t="inlineStr"/>
      <c r="G199" s="22" t="inlineStr"/>
      <c r="H199" s="22" t="inlineStr"/>
    </row>
    <row r="200">
      <c r="A200" s="19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</row>
  </sheetData>
  <autoFilter ref="A11:H200"/>
  <mergeCells count="7">
    <mergeCell ref="A4:H4"/>
    <mergeCell ref="A2:H2"/>
    <mergeCell ref="A10:H10"/>
    <mergeCell ref="A1:H1"/>
    <mergeCell ref="G8:H8"/>
    <mergeCell ref="B8:C8"/>
    <mergeCell ref="E8:F8"/>
  </mergeCells>
  <dataValidations count="2">
    <dataValidation sqref="B6" showDropDown="0" showInputMessage="0" showErrorMessage="0" allowBlank="1" errorTitle="Día inválido" error="Selecciona un día válido" promptTitle="Día" prompt="Selecciona el día de rutina" type="list">
      <formula1>"Lunes - Pecho y Tríceps,Martes - Espalda y Bíceps,Miércoles - Piernas,Jueves - Hombros y Core,Viernes - Full Body"</formula1>
    </dataValidation>
    <dataValidation sqref="C6" showDropDown="0" showInputMessage="0" showErrorMessage="0" allowBlank="1" errorTitle="Ejercicio inválido" error="Selecciona un ejercicio de la rutina" promptTitle="Ejercicio" prompt="Selecciona un ejercicio de la rutina del día" type="list">
      <formula1>=INDIRECT(I6)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Lunes - Pecho y Tríceps</t>
        </is>
      </c>
      <c r="B1" t="inlineStr">
        <is>
          <t>Martes - Espalda y Bíceps</t>
        </is>
      </c>
      <c r="C1" t="inlineStr">
        <is>
          <t>Miércoles - Piernas</t>
        </is>
      </c>
      <c r="D1" t="inlineStr">
        <is>
          <t>Jueves - Hombros y Core</t>
        </is>
      </c>
      <c r="E1" t="inlineStr">
        <is>
          <t>Viernes - Full Body</t>
        </is>
      </c>
    </row>
    <row r="2">
      <c r="A2" t="inlineStr">
        <is>
          <t>Flexiones clásicas</t>
        </is>
      </c>
      <c r="B2" t="inlineStr">
        <is>
          <t>Remo con mancuernas</t>
        </is>
      </c>
      <c r="C2" t="inlineStr">
        <is>
          <t>Sentadillas</t>
        </is>
      </c>
      <c r="D2" t="inlineStr">
        <is>
          <t>Press militar con mancuernas</t>
        </is>
      </c>
      <c r="E2" t="inlineStr">
        <is>
          <t>Burpees</t>
        </is>
      </c>
    </row>
    <row r="3">
      <c r="A3" t="inlineStr">
        <is>
          <t>Flexiones diamante</t>
        </is>
      </c>
      <c r="B3" t="inlineStr">
        <is>
          <t>Dominadas (o banda elástica)</t>
        </is>
      </c>
      <c r="C3" t="inlineStr">
        <is>
          <t>Sentadilla búlgara</t>
        </is>
      </c>
      <c r="D3" t="inlineStr">
        <is>
          <t>Elevaciones laterales</t>
        </is>
      </c>
      <c r="E3" t="inlineStr">
        <is>
          <t>Sentadilla con salto</t>
        </is>
      </c>
    </row>
    <row r="4">
      <c r="A4" t="inlineStr">
        <is>
          <t>Flexiones declinadas</t>
        </is>
      </c>
      <c r="B4" t="inlineStr">
        <is>
          <t>Remo invertido (mesa)</t>
        </is>
      </c>
      <c r="C4" t="inlineStr">
        <is>
          <t>Zancadas</t>
        </is>
      </c>
      <c r="D4" t="inlineStr">
        <is>
          <t>Elevaciones frontales</t>
        </is>
      </c>
      <c r="E4" t="inlineStr">
        <is>
          <t>Flexiones</t>
        </is>
      </c>
    </row>
    <row r="5">
      <c r="A5" t="inlineStr">
        <is>
          <t>Fondos en silla</t>
        </is>
      </c>
      <c r="B5" t="inlineStr">
        <is>
          <t>Curl bíceps con mancuerna</t>
        </is>
      </c>
      <c r="C5" t="inlineStr">
        <is>
          <t>Peso muerto rumano</t>
        </is>
      </c>
      <c r="D5" t="inlineStr">
        <is>
          <t>Plancha frontal (seg)</t>
        </is>
      </c>
      <c r="E5" t="inlineStr">
        <is>
          <t>Remo con mancuernas</t>
        </is>
      </c>
    </row>
    <row r="6">
      <c r="A6" t="inlineStr">
        <is>
          <t>Flexiones abiertas</t>
        </is>
      </c>
      <c r="B6" t="inlineStr">
        <is>
          <t>Curl martillo</t>
        </is>
      </c>
      <c r="C6" t="inlineStr">
        <is>
          <t>Elevación de talones</t>
        </is>
      </c>
      <c r="D6" t="inlineStr">
        <is>
          <t>Plancha lateral (seg)</t>
        </is>
      </c>
      <c r="E6" t="inlineStr">
        <is>
          <t>Zancadas con salto</t>
        </is>
      </c>
    </row>
    <row r="7">
      <c r="A7" t="inlineStr">
        <is>
          <t>Extensión tríceps con mancuerna</t>
        </is>
      </c>
      <c r="B7" t="inlineStr">
        <is>
          <t>Superman</t>
        </is>
      </c>
      <c r="C7" t="inlineStr">
        <is>
          <t>Puente de glúteos</t>
        </is>
      </c>
      <c r="D7" t="inlineStr">
        <is>
          <t>Crunch abdominal</t>
        </is>
      </c>
      <c r="E7" t="inlineStr">
        <is>
          <t>Mountain climbers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RUTINAS SEMANALES - ENTRENAMIENTO EN CASA</t>
        </is>
      </c>
      <c r="B1" s="2" t="n"/>
      <c r="C1" s="2" t="n"/>
      <c r="D1" s="2" t="n"/>
      <c r="E1" s="2" t="n"/>
      <c r="F1" s="2" t="n"/>
    </row>
    <row r="2">
      <c r="A2" s="23" t="inlineStr">
        <is>
          <t>Personaliza tus rutinas aquí. Los ejercicios aparecerán en la hoja de Registro.</t>
        </is>
      </c>
      <c r="B2" s="24" t="n"/>
      <c r="C2" s="24" t="n"/>
      <c r="D2" s="24" t="n"/>
      <c r="E2" s="24" t="n"/>
      <c r="F2" s="24" t="n"/>
    </row>
    <row r="4">
      <c r="A4" s="5" t="inlineStr">
        <is>
          <t>Lunes - Pecho y Tríceps</t>
        </is>
      </c>
      <c r="B4" s="6" t="n"/>
      <c r="C4" s="6" t="n"/>
      <c r="D4" s="6" t="n"/>
      <c r="E4" s="6" t="n"/>
      <c r="F4" s="6" t="n"/>
    </row>
    <row r="5">
      <c r="A5" s="11" t="inlineStr">
        <is>
          <t>#</t>
        </is>
      </c>
      <c r="B5" s="11" t="inlineStr">
        <is>
          <t>Ejercicio</t>
        </is>
      </c>
      <c r="C5" s="11" t="inlineStr">
        <is>
          <t>Grupo Muscular</t>
        </is>
      </c>
      <c r="D5" s="11" t="inlineStr">
        <is>
          <t>Series Obj.</t>
        </is>
      </c>
      <c r="E5" s="11" t="inlineStr">
        <is>
          <t>Reps Obj.</t>
        </is>
      </c>
      <c r="F5" s="11" t="inlineStr">
        <is>
          <t>Peso Obj. (kg)</t>
        </is>
      </c>
    </row>
    <row r="6">
      <c r="A6" s="22" t="n">
        <v>1</v>
      </c>
      <c r="B6" s="25" t="inlineStr">
        <is>
          <t>Flexiones clásicas</t>
        </is>
      </c>
      <c r="C6" s="22" t="inlineStr"/>
      <c r="D6" s="22" t="inlineStr"/>
      <c r="E6" s="22" t="inlineStr"/>
      <c r="F6" s="22" t="inlineStr"/>
    </row>
    <row r="7">
      <c r="A7" s="20" t="n">
        <v>2</v>
      </c>
      <c r="B7" s="26" t="inlineStr">
        <is>
          <t>Flexiones diamante</t>
        </is>
      </c>
      <c r="C7" s="20" t="inlineStr"/>
      <c r="D7" s="20" t="inlineStr"/>
      <c r="E7" s="20" t="inlineStr"/>
      <c r="F7" s="20" t="inlineStr"/>
    </row>
    <row r="8">
      <c r="A8" s="22" t="n">
        <v>3</v>
      </c>
      <c r="B8" s="25" t="inlineStr">
        <is>
          <t>Flexiones declinadas</t>
        </is>
      </c>
      <c r="C8" s="22" t="inlineStr"/>
      <c r="D8" s="22" t="inlineStr"/>
      <c r="E8" s="22" t="inlineStr"/>
      <c r="F8" s="22" t="inlineStr"/>
    </row>
    <row r="9">
      <c r="A9" s="20" t="n">
        <v>4</v>
      </c>
      <c r="B9" s="26" t="inlineStr">
        <is>
          <t>Fondos en silla</t>
        </is>
      </c>
      <c r="C9" s="20" t="inlineStr"/>
      <c r="D9" s="20" t="inlineStr"/>
      <c r="E9" s="20" t="inlineStr"/>
      <c r="F9" s="20" t="inlineStr"/>
    </row>
    <row r="10">
      <c r="A10" s="22" t="n">
        <v>5</v>
      </c>
      <c r="B10" s="25" t="inlineStr">
        <is>
          <t>Flexiones abiertas</t>
        </is>
      </c>
      <c r="C10" s="22" t="inlineStr"/>
      <c r="D10" s="22" t="inlineStr"/>
      <c r="E10" s="22" t="inlineStr"/>
      <c r="F10" s="22" t="inlineStr"/>
    </row>
    <row r="11">
      <c r="A11" s="20" t="n">
        <v>6</v>
      </c>
      <c r="B11" s="26" t="inlineStr">
        <is>
          <t>Extensión tríceps con mancuerna</t>
        </is>
      </c>
      <c r="C11" s="20" t="inlineStr"/>
      <c r="D11" s="20" t="inlineStr"/>
      <c r="E11" s="20" t="inlineStr"/>
      <c r="F11" s="20" t="inlineStr"/>
    </row>
    <row r="13">
      <c r="A13" s="5" t="inlineStr">
        <is>
          <t>Martes - Espalda y Bíceps</t>
        </is>
      </c>
      <c r="B13" s="6" t="n"/>
      <c r="C13" s="6" t="n"/>
      <c r="D13" s="6" t="n"/>
      <c r="E13" s="6" t="n"/>
      <c r="F13" s="6" t="n"/>
    </row>
    <row r="14">
      <c r="A14" s="11" t="inlineStr">
        <is>
          <t>#</t>
        </is>
      </c>
      <c r="B14" s="11" t="inlineStr">
        <is>
          <t>Ejercicio</t>
        </is>
      </c>
      <c r="C14" s="11" t="inlineStr">
        <is>
          <t>Grupo Muscular</t>
        </is>
      </c>
      <c r="D14" s="11" t="inlineStr">
        <is>
          <t>Series Obj.</t>
        </is>
      </c>
      <c r="E14" s="11" t="inlineStr">
        <is>
          <t>Reps Obj.</t>
        </is>
      </c>
      <c r="F14" s="11" t="inlineStr">
        <is>
          <t>Peso Obj. (kg)</t>
        </is>
      </c>
    </row>
    <row r="15">
      <c r="A15" s="22" t="n">
        <v>1</v>
      </c>
      <c r="B15" s="25" t="inlineStr">
        <is>
          <t>Remo con mancuernas</t>
        </is>
      </c>
      <c r="C15" s="22" t="inlineStr"/>
      <c r="D15" s="22" t="inlineStr"/>
      <c r="E15" s="22" t="inlineStr"/>
      <c r="F15" s="22" t="inlineStr"/>
    </row>
    <row r="16">
      <c r="A16" s="20" t="n">
        <v>2</v>
      </c>
      <c r="B16" s="26" t="inlineStr">
        <is>
          <t>Dominadas (o banda elástica)</t>
        </is>
      </c>
      <c r="C16" s="20" t="inlineStr"/>
      <c r="D16" s="20" t="inlineStr"/>
      <c r="E16" s="20" t="inlineStr"/>
      <c r="F16" s="20" t="inlineStr"/>
    </row>
    <row r="17">
      <c r="A17" s="22" t="n">
        <v>3</v>
      </c>
      <c r="B17" s="25" t="inlineStr">
        <is>
          <t>Remo invertido (mesa)</t>
        </is>
      </c>
      <c r="C17" s="22" t="inlineStr"/>
      <c r="D17" s="22" t="inlineStr"/>
      <c r="E17" s="22" t="inlineStr"/>
      <c r="F17" s="22" t="inlineStr"/>
    </row>
    <row r="18">
      <c r="A18" s="20" t="n">
        <v>4</v>
      </c>
      <c r="B18" s="26" t="inlineStr">
        <is>
          <t>Curl bíceps con mancuerna</t>
        </is>
      </c>
      <c r="C18" s="20" t="inlineStr"/>
      <c r="D18" s="20" t="inlineStr"/>
      <c r="E18" s="20" t="inlineStr"/>
      <c r="F18" s="20" t="inlineStr"/>
    </row>
    <row r="19">
      <c r="A19" s="22" t="n">
        <v>5</v>
      </c>
      <c r="B19" s="25" t="inlineStr">
        <is>
          <t>Curl martillo</t>
        </is>
      </c>
      <c r="C19" s="22" t="inlineStr"/>
      <c r="D19" s="22" t="inlineStr"/>
      <c r="E19" s="22" t="inlineStr"/>
      <c r="F19" s="22" t="inlineStr"/>
    </row>
    <row r="20">
      <c r="A20" s="20" t="n">
        <v>6</v>
      </c>
      <c r="B20" s="26" t="inlineStr">
        <is>
          <t>Superman</t>
        </is>
      </c>
      <c r="C20" s="20" t="inlineStr"/>
      <c r="D20" s="20" t="inlineStr"/>
      <c r="E20" s="20" t="inlineStr"/>
      <c r="F20" s="20" t="inlineStr"/>
    </row>
    <row r="22">
      <c r="A22" s="5" t="inlineStr">
        <is>
          <t>Miércoles - Piernas</t>
        </is>
      </c>
      <c r="B22" s="6" t="n"/>
      <c r="C22" s="6" t="n"/>
      <c r="D22" s="6" t="n"/>
      <c r="E22" s="6" t="n"/>
      <c r="F22" s="6" t="n"/>
    </row>
    <row r="23">
      <c r="A23" s="11" t="inlineStr">
        <is>
          <t>#</t>
        </is>
      </c>
      <c r="B23" s="11" t="inlineStr">
        <is>
          <t>Ejercicio</t>
        </is>
      </c>
      <c r="C23" s="11" t="inlineStr">
        <is>
          <t>Grupo Muscular</t>
        </is>
      </c>
      <c r="D23" s="11" t="inlineStr">
        <is>
          <t>Series Obj.</t>
        </is>
      </c>
      <c r="E23" s="11" t="inlineStr">
        <is>
          <t>Reps Obj.</t>
        </is>
      </c>
      <c r="F23" s="11" t="inlineStr">
        <is>
          <t>Peso Obj. (kg)</t>
        </is>
      </c>
    </row>
    <row r="24">
      <c r="A24" s="22" t="n">
        <v>1</v>
      </c>
      <c r="B24" s="25" t="inlineStr">
        <is>
          <t>Sentadillas</t>
        </is>
      </c>
      <c r="C24" s="22" t="inlineStr"/>
      <c r="D24" s="22" t="inlineStr"/>
      <c r="E24" s="22" t="inlineStr"/>
      <c r="F24" s="22" t="inlineStr"/>
    </row>
    <row r="25">
      <c r="A25" s="20" t="n">
        <v>2</v>
      </c>
      <c r="B25" s="26" t="inlineStr">
        <is>
          <t>Sentadilla búlgara</t>
        </is>
      </c>
      <c r="C25" s="20" t="inlineStr"/>
      <c r="D25" s="20" t="inlineStr"/>
      <c r="E25" s="20" t="inlineStr"/>
      <c r="F25" s="20" t="inlineStr"/>
    </row>
    <row r="26">
      <c r="A26" s="22" t="n">
        <v>3</v>
      </c>
      <c r="B26" s="25" t="inlineStr">
        <is>
          <t>Zancadas</t>
        </is>
      </c>
      <c r="C26" s="22" t="inlineStr"/>
      <c r="D26" s="22" t="inlineStr"/>
      <c r="E26" s="22" t="inlineStr"/>
      <c r="F26" s="22" t="inlineStr"/>
    </row>
    <row r="27">
      <c r="A27" s="20" t="n">
        <v>4</v>
      </c>
      <c r="B27" s="26" t="inlineStr">
        <is>
          <t>Peso muerto rumano</t>
        </is>
      </c>
      <c r="C27" s="20" t="inlineStr"/>
      <c r="D27" s="20" t="inlineStr"/>
      <c r="E27" s="20" t="inlineStr"/>
      <c r="F27" s="20" t="inlineStr"/>
    </row>
    <row r="28">
      <c r="A28" s="22" t="n">
        <v>5</v>
      </c>
      <c r="B28" s="25" t="inlineStr">
        <is>
          <t>Elevación de talones</t>
        </is>
      </c>
      <c r="C28" s="22" t="inlineStr"/>
      <c r="D28" s="22" t="inlineStr"/>
      <c r="E28" s="22" t="inlineStr"/>
      <c r="F28" s="22" t="inlineStr"/>
    </row>
    <row r="29">
      <c r="A29" s="20" t="n">
        <v>6</v>
      </c>
      <c r="B29" s="26" t="inlineStr">
        <is>
          <t>Puente de glúteos</t>
        </is>
      </c>
      <c r="C29" s="20" t="inlineStr"/>
      <c r="D29" s="20" t="inlineStr"/>
      <c r="E29" s="20" t="inlineStr"/>
      <c r="F29" s="20" t="inlineStr"/>
    </row>
    <row r="31">
      <c r="A31" s="5" t="inlineStr">
        <is>
          <t>Jueves - Hombros y Core</t>
        </is>
      </c>
      <c r="B31" s="6" t="n"/>
      <c r="C31" s="6" t="n"/>
      <c r="D31" s="6" t="n"/>
      <c r="E31" s="6" t="n"/>
      <c r="F31" s="6" t="n"/>
    </row>
    <row r="32">
      <c r="A32" s="11" t="inlineStr">
        <is>
          <t>#</t>
        </is>
      </c>
      <c r="B32" s="11" t="inlineStr">
        <is>
          <t>Ejercicio</t>
        </is>
      </c>
      <c r="C32" s="11" t="inlineStr">
        <is>
          <t>Grupo Muscular</t>
        </is>
      </c>
      <c r="D32" s="11" t="inlineStr">
        <is>
          <t>Series Obj.</t>
        </is>
      </c>
      <c r="E32" s="11" t="inlineStr">
        <is>
          <t>Reps Obj.</t>
        </is>
      </c>
      <c r="F32" s="11" t="inlineStr">
        <is>
          <t>Peso Obj. (kg)</t>
        </is>
      </c>
    </row>
    <row r="33">
      <c r="A33" s="22" t="n">
        <v>1</v>
      </c>
      <c r="B33" s="25" t="inlineStr">
        <is>
          <t>Press militar con mancuernas</t>
        </is>
      </c>
      <c r="C33" s="22" t="inlineStr"/>
      <c r="D33" s="22" t="inlineStr"/>
      <c r="E33" s="22" t="inlineStr"/>
      <c r="F33" s="22" t="inlineStr"/>
    </row>
    <row r="34">
      <c r="A34" s="20" t="n">
        <v>2</v>
      </c>
      <c r="B34" s="26" t="inlineStr">
        <is>
          <t>Elevaciones laterales</t>
        </is>
      </c>
      <c r="C34" s="20" t="inlineStr"/>
      <c r="D34" s="20" t="inlineStr"/>
      <c r="E34" s="20" t="inlineStr"/>
      <c r="F34" s="20" t="inlineStr"/>
    </row>
    <row r="35">
      <c r="A35" s="22" t="n">
        <v>3</v>
      </c>
      <c r="B35" s="25" t="inlineStr">
        <is>
          <t>Elevaciones frontales</t>
        </is>
      </c>
      <c r="C35" s="22" t="inlineStr"/>
      <c r="D35" s="22" t="inlineStr"/>
      <c r="E35" s="22" t="inlineStr"/>
      <c r="F35" s="22" t="inlineStr"/>
    </row>
    <row r="36">
      <c r="A36" s="20" t="n">
        <v>4</v>
      </c>
      <c r="B36" s="26" t="inlineStr">
        <is>
          <t>Plancha frontal (seg)</t>
        </is>
      </c>
      <c r="C36" s="20" t="inlineStr"/>
      <c r="D36" s="20" t="inlineStr"/>
      <c r="E36" s="20" t="inlineStr"/>
      <c r="F36" s="20" t="inlineStr"/>
    </row>
    <row r="37">
      <c r="A37" s="22" t="n">
        <v>5</v>
      </c>
      <c r="B37" s="25" t="inlineStr">
        <is>
          <t>Plancha lateral (seg)</t>
        </is>
      </c>
      <c r="C37" s="22" t="inlineStr"/>
      <c r="D37" s="22" t="inlineStr"/>
      <c r="E37" s="22" t="inlineStr"/>
      <c r="F37" s="22" t="inlineStr"/>
    </row>
    <row r="38">
      <c r="A38" s="20" t="n">
        <v>6</v>
      </c>
      <c r="B38" s="26" t="inlineStr">
        <is>
          <t>Crunch abdominal</t>
        </is>
      </c>
      <c r="C38" s="20" t="inlineStr"/>
      <c r="D38" s="20" t="inlineStr"/>
      <c r="E38" s="20" t="inlineStr"/>
      <c r="F38" s="20" t="inlineStr"/>
    </row>
    <row r="40">
      <c r="A40" s="5" t="inlineStr">
        <is>
          <t>Viernes - Full Body</t>
        </is>
      </c>
      <c r="B40" s="6" t="n"/>
      <c r="C40" s="6" t="n"/>
      <c r="D40" s="6" t="n"/>
      <c r="E40" s="6" t="n"/>
      <c r="F40" s="6" t="n"/>
    </row>
    <row r="41">
      <c r="A41" s="11" t="inlineStr">
        <is>
          <t>#</t>
        </is>
      </c>
      <c r="B41" s="11" t="inlineStr">
        <is>
          <t>Ejercicio</t>
        </is>
      </c>
      <c r="C41" s="11" t="inlineStr">
        <is>
          <t>Grupo Muscular</t>
        </is>
      </c>
      <c r="D41" s="11" t="inlineStr">
        <is>
          <t>Series Obj.</t>
        </is>
      </c>
      <c r="E41" s="11" t="inlineStr">
        <is>
          <t>Reps Obj.</t>
        </is>
      </c>
      <c r="F41" s="11" t="inlineStr">
        <is>
          <t>Peso Obj. (kg)</t>
        </is>
      </c>
    </row>
    <row r="42">
      <c r="A42" s="22" t="n">
        <v>1</v>
      </c>
      <c r="B42" s="25" t="inlineStr">
        <is>
          <t>Burpees</t>
        </is>
      </c>
      <c r="C42" s="22" t="inlineStr"/>
      <c r="D42" s="22" t="inlineStr"/>
      <c r="E42" s="22" t="inlineStr"/>
      <c r="F42" s="22" t="inlineStr"/>
    </row>
    <row r="43">
      <c r="A43" s="20" t="n">
        <v>2</v>
      </c>
      <c r="B43" s="26" t="inlineStr">
        <is>
          <t>Sentadilla con salto</t>
        </is>
      </c>
      <c r="C43" s="20" t="inlineStr"/>
      <c r="D43" s="20" t="inlineStr"/>
      <c r="E43" s="20" t="inlineStr"/>
      <c r="F43" s="20" t="inlineStr"/>
    </row>
    <row r="44">
      <c r="A44" s="22" t="n">
        <v>3</v>
      </c>
      <c r="B44" s="25" t="inlineStr">
        <is>
          <t>Flexiones</t>
        </is>
      </c>
      <c r="C44" s="22" t="inlineStr"/>
      <c r="D44" s="22" t="inlineStr"/>
      <c r="E44" s="22" t="inlineStr"/>
      <c r="F44" s="22" t="inlineStr"/>
    </row>
    <row r="45">
      <c r="A45" s="20" t="n">
        <v>4</v>
      </c>
      <c r="B45" s="26" t="inlineStr">
        <is>
          <t>Remo con mancuernas</t>
        </is>
      </c>
      <c r="C45" s="20" t="inlineStr"/>
      <c r="D45" s="20" t="inlineStr"/>
      <c r="E45" s="20" t="inlineStr"/>
      <c r="F45" s="20" t="inlineStr"/>
    </row>
    <row r="46">
      <c r="A46" s="22" t="n">
        <v>5</v>
      </c>
      <c r="B46" s="25" t="inlineStr">
        <is>
          <t>Zancadas con salto</t>
        </is>
      </c>
      <c r="C46" s="22" t="inlineStr"/>
      <c r="D46" s="22" t="inlineStr"/>
      <c r="E46" s="22" t="inlineStr"/>
      <c r="F46" s="22" t="inlineStr"/>
    </row>
    <row r="47">
      <c r="A47" s="20" t="n">
        <v>6</v>
      </c>
      <c r="B47" s="26" t="inlineStr">
        <is>
          <t>Mountain climbers</t>
        </is>
      </c>
      <c r="C47" s="20" t="inlineStr"/>
      <c r="D47" s="20" t="inlineStr"/>
      <c r="E47" s="20" t="inlineStr"/>
      <c r="F47" s="20" t="inlineStr"/>
    </row>
  </sheetData>
  <mergeCells count="7">
    <mergeCell ref="A2:F2"/>
    <mergeCell ref="A13:F13"/>
    <mergeCell ref="A1:F1"/>
    <mergeCell ref="A31:F31"/>
    <mergeCell ref="A22:F22"/>
    <mergeCell ref="A40:F40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DASHBOARD DE ENTRENAMIENTO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7" t="inlineStr">
        <is>
          <t>Resumen visual de tu progreso. Los datos se actualizan automáticamente desde la hoja Registro.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</row>
    <row r="4">
      <c r="A4" s="5" t="inlineStr">
        <is>
          <t>MÉTRICAS CLAVE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B5" s="29" t="inlineStr">
        <is>
          <t>Total Sesiones</t>
        </is>
      </c>
      <c r="C5" s="12" t="n"/>
      <c r="D5" s="30" t="inlineStr">
        <is>
          <t>Último Entreno</t>
        </is>
      </c>
      <c r="E5" s="6" t="n"/>
      <c r="F5" s="31" t="inlineStr">
        <is>
          <t>Peso Máx (kg)</t>
        </is>
      </c>
      <c r="G5" s="14" t="n"/>
      <c r="H5" s="32" t="inlineStr">
        <is>
          <t>Prom. Reps</t>
        </is>
      </c>
      <c r="I5" s="2" t="n"/>
      <c r="J5" s="33" t="inlineStr">
        <is>
          <t>Volumen Total</t>
        </is>
      </c>
      <c r="K5" s="16" t="n"/>
    </row>
    <row r="6">
      <c r="B6" s="34">
        <f>COUNTA(Registro!A12:A200)</f>
        <v/>
      </c>
      <c r="C6" s="12" t="n"/>
      <c r="D6" s="35">
        <f>IF(COUNTA(Registro!A12:A200)&gt;0,MAX(Registro!A12:A200),"-")</f>
        <v/>
      </c>
      <c r="E6" s="6" t="n"/>
      <c r="F6" s="36">
        <f>IF(MAX(Registro!F12:F200)&gt;0,MAX(Registro!F12:F200),"-")</f>
        <v/>
      </c>
      <c r="G6" s="14" t="n"/>
      <c r="H6" s="37">
        <f>IFERROR(ROUND(AVERAGE(Registro!E12:E200),1),"-")</f>
        <v/>
      </c>
      <c r="I6" s="2" t="n"/>
      <c r="J6" s="38">
        <f>IFERROR(SUMPRODUCT((Registro!D12:D200)*(Registro!E12:E200)),"-")</f>
        <v/>
      </c>
      <c r="K6" s="16" t="n"/>
    </row>
    <row r="7">
      <c r="B7" s="12" t="n"/>
      <c r="C7" s="12" t="n"/>
      <c r="D7" s="6" t="n"/>
      <c r="E7" s="6" t="n"/>
      <c r="F7" s="14" t="n"/>
      <c r="G7" s="14" t="n"/>
      <c r="H7" s="2" t="n"/>
      <c r="I7" s="2" t="n"/>
      <c r="J7" s="16" t="n"/>
      <c r="K7" s="16" t="n"/>
    </row>
    <row r="9">
      <c r="B9" s="5" t="inlineStr">
        <is>
          <t>VOLUMEN POR DÍA DE RUTINA</t>
        </is>
      </c>
      <c r="C9" s="6" t="n"/>
      <c r="D9" s="6" t="n"/>
      <c r="E9" s="6" t="n"/>
      <c r="F9" s="6" t="n"/>
    </row>
    <row r="10">
      <c r="B10" s="11" t="inlineStr">
        <is>
          <t>Día</t>
        </is>
      </c>
      <c r="C10" s="11" t="inlineStr">
        <is>
          <t>Sesiones</t>
        </is>
      </c>
      <c r="D10" s="11" t="inlineStr">
        <is>
          <t>Series</t>
        </is>
      </c>
      <c r="E10" s="11" t="inlineStr">
        <is>
          <t>Reps</t>
        </is>
      </c>
      <c r="F10" s="11" t="inlineStr">
        <is>
          <t>Peso Prom.</t>
        </is>
      </c>
    </row>
    <row r="11">
      <c r="B11" s="39" t="inlineStr">
        <is>
          <t>Lunes</t>
        </is>
      </c>
      <c r="C11" s="20">
        <f>COUNTIF(Registro!B$12:B$200,"Lunes - Pecho y Tríceps")</f>
        <v/>
      </c>
      <c r="D11" s="20">
        <f>SUMIF(Registro!B$12:B$200,"Lunes - Pecho y Tríceps",Registro!D$12:D$200)</f>
        <v/>
      </c>
      <c r="E11" s="20">
        <f>SUMIF(Registro!B$12:B$200,"Lunes - Pecho y Tríceps",Registro!E$12:E$200)</f>
        <v/>
      </c>
      <c r="F11" s="20">
        <f>IFERROR(AVERAGEIF(Registro!B$12:B$200,"Lunes - Pecho y Tríceps",Registro!F$12:F$200),0)</f>
        <v/>
      </c>
    </row>
    <row r="12">
      <c r="B12" s="40" t="inlineStr">
        <is>
          <t>Martes</t>
        </is>
      </c>
      <c r="C12" s="22">
        <f>COUNTIF(Registro!B$12:B$200,"Martes - Espalda y Bíceps")</f>
        <v/>
      </c>
      <c r="D12" s="22">
        <f>SUMIF(Registro!B$12:B$200,"Martes - Espalda y Bíceps",Registro!D$12:D$200)</f>
        <v/>
      </c>
      <c r="E12" s="22">
        <f>SUMIF(Registro!B$12:B$200,"Martes - Espalda y Bíceps",Registro!E$12:E$200)</f>
        <v/>
      </c>
      <c r="F12" s="22">
        <f>IFERROR(AVERAGEIF(Registro!B$12:B$200,"Martes - Espalda y Bíceps",Registro!F$12:F$200),0)</f>
        <v/>
      </c>
    </row>
    <row r="13">
      <c r="B13" s="39" t="inlineStr">
        <is>
          <t>Miércoles</t>
        </is>
      </c>
      <c r="C13" s="20">
        <f>COUNTIF(Registro!B$12:B$200,"Miércoles - Piernas")</f>
        <v/>
      </c>
      <c r="D13" s="20">
        <f>SUMIF(Registro!B$12:B$200,"Miércoles - Piernas",Registro!D$12:D$200)</f>
        <v/>
      </c>
      <c r="E13" s="20">
        <f>SUMIF(Registro!B$12:B$200,"Miércoles - Piernas",Registro!E$12:E$200)</f>
        <v/>
      </c>
      <c r="F13" s="20">
        <f>IFERROR(AVERAGEIF(Registro!B$12:B$200,"Miércoles - Piernas",Registro!F$12:F$200),0)</f>
        <v/>
      </c>
    </row>
    <row r="14">
      <c r="B14" s="40" t="inlineStr">
        <is>
          <t>Jueves</t>
        </is>
      </c>
      <c r="C14" s="22">
        <f>COUNTIF(Registro!B$12:B$200,"Jueves - Hombros y Core")</f>
        <v/>
      </c>
      <c r="D14" s="22">
        <f>SUMIF(Registro!B$12:B$200,"Jueves - Hombros y Core",Registro!D$12:D$200)</f>
        <v/>
      </c>
      <c r="E14" s="22">
        <f>SUMIF(Registro!B$12:B$200,"Jueves - Hombros y Core",Registro!E$12:E$200)</f>
        <v/>
      </c>
      <c r="F14" s="22">
        <f>IFERROR(AVERAGEIF(Registro!B$12:B$200,"Jueves - Hombros y Core",Registro!F$12:F$200),0)</f>
        <v/>
      </c>
    </row>
    <row r="15">
      <c r="B15" s="39" t="inlineStr">
        <is>
          <t>Viernes</t>
        </is>
      </c>
      <c r="C15" s="20">
        <f>COUNTIF(Registro!B$12:B$200,"Viernes - Full Body")</f>
        <v/>
      </c>
      <c r="D15" s="20">
        <f>SUMIF(Registro!B$12:B$200,"Viernes - Full Body",Registro!D$12:D$200)</f>
        <v/>
      </c>
      <c r="E15" s="20">
        <f>SUMIF(Registro!B$12:B$200,"Viernes - Full Body",Registro!E$12:E$200)</f>
        <v/>
      </c>
      <c r="F15" s="20">
        <f>IFERROR(AVERAGEIF(Registro!B$12:B$200,"Viernes - Full Body",Registro!F$12:F$200),0)</f>
        <v/>
      </c>
    </row>
    <row r="17">
      <c r="B17" s="17" t="inlineStr">
        <is>
          <t>INSIGHTS</t>
        </is>
      </c>
      <c r="C17" s="2" t="n"/>
      <c r="D17" s="2" t="n"/>
      <c r="E17" s="2" t="n"/>
      <c r="F17" s="2" t="n"/>
    </row>
    <row r="18">
      <c r="B18" s="39" t="inlineStr">
        <is>
          <t>Días sin entrenar</t>
        </is>
      </c>
      <c r="C18" s="41">
        <f>IF(COUNTA(Registro!A12:A200)&gt;0,TODAY()-MAX(Registro!A12:A200),"-")</f>
        <v/>
      </c>
      <c r="D18" s="42" t="n"/>
      <c r="E18" s="42" t="n"/>
      <c r="F18" s="42" t="n"/>
    </row>
    <row r="19">
      <c r="B19" s="40" t="inlineStr">
        <is>
          <t>Sesiones esta semana</t>
        </is>
      </c>
      <c r="C19" s="43">
        <f>COUNTIFS(Registro!A12:A200,"&gt;="&amp;(TODAY()-WEEKDAY(TODAY(),2)+1),Registro!A12:A200,"&lt;="&amp;TODAY())</f>
        <v/>
      </c>
      <c r="D19" s="44" t="n"/>
      <c r="E19" s="44" t="n"/>
      <c r="F19" s="44" t="n"/>
    </row>
    <row r="20">
      <c r="B20" s="39" t="inlineStr">
        <is>
          <t>Sesiones este mes</t>
        </is>
      </c>
      <c r="C20" s="41">
        <f>COUNTIFS(Registro!A12:A200,"&gt;="&amp;DATE(YEAR(TODAY()),MONTH(TODAY()),1),Registro!A12:A200,"&lt;="&amp;TODAY())</f>
        <v/>
      </c>
      <c r="D20" s="42" t="n"/>
      <c r="E20" s="42" t="n"/>
      <c r="F20" s="42" t="n"/>
    </row>
    <row r="21">
      <c r="B21" s="40" t="inlineStr">
        <is>
          <t>Ejercicio más frecuente</t>
        </is>
      </c>
      <c r="C21" s="43">
        <f>IFERROR(INDEX(Registro!C12:C200,MATCH(MAX(COUNTIF(Registro!C12:C200,Registro!C12:C200)),COUNTIF(Registro!C12:C200,Registro!C12:C200),0)),"-")</f>
        <v/>
      </c>
      <c r="D21" s="44" t="n"/>
      <c r="E21" s="44" t="n"/>
      <c r="F21" s="44" t="n"/>
    </row>
    <row r="22">
      <c r="B22" s="39" t="inlineStr">
        <is>
          <t>Prom. series por sesión</t>
        </is>
      </c>
      <c r="C22" s="41">
        <f>IFERROR(ROUND(AVERAGE(Registro!D12:D200),1),"-")</f>
        <v/>
      </c>
      <c r="D22" s="42" t="n"/>
      <c r="E22" s="42" t="n"/>
      <c r="F22" s="42" t="n"/>
    </row>
    <row r="23">
      <c r="B23" s="40" t="inlineStr">
        <is>
          <t>Mayor volumen en 1 registro</t>
        </is>
      </c>
      <c r="C23" s="43">
        <f>IFERROR(MAX(Registro!D12:D200*Registro!E12:E200),"-")</f>
        <v/>
      </c>
      <c r="D23" s="44" t="n"/>
      <c r="E23" s="44" t="n"/>
      <c r="F23" s="44" t="n"/>
    </row>
    <row r="26">
      <c r="B26" s="17" t="inlineStr">
        <is>
          <t>ÚLTIMOS 10 REGISTROS</t>
        </is>
      </c>
      <c r="C26" s="2" t="n"/>
      <c r="D26" s="2" t="n"/>
      <c r="E26" s="2" t="n"/>
      <c r="F26" s="2" t="n"/>
    </row>
    <row r="27">
      <c r="B27" s="11" t="inlineStr">
        <is>
          <t>Fecha</t>
        </is>
      </c>
      <c r="C27" s="11" t="inlineStr">
        <is>
          <t>Rutina</t>
        </is>
      </c>
      <c r="D27" s="11" t="inlineStr">
        <is>
          <t>Ejercicio</t>
        </is>
      </c>
      <c r="E27" s="11" t="inlineStr">
        <is>
          <t>Reps</t>
        </is>
      </c>
      <c r="F27" s="11" t="inlineStr">
        <is>
          <t>Peso (kg)</t>
        </is>
      </c>
    </row>
    <row r="28">
      <c r="B28" s="19">
        <f>IFERROR(INDEX(Registro!A$12:A$200,COUNTA(Registro!A$12:A$200)-0),"")</f>
        <v/>
      </c>
      <c r="C28" s="20">
        <f>IFERROR(INDEX(Registro!B$12:B$200,COUNTA(Registro!A$12:A$200)-0),"")</f>
        <v/>
      </c>
      <c r="D28" s="20">
        <f>IFERROR(INDEX(Registro!C$12:C$200,COUNTA(Registro!A$12:A$200)-0),"")</f>
        <v/>
      </c>
      <c r="E28" s="20">
        <f>IFERROR(INDEX(Registro!E$12:E$200,COUNTA(Registro!A$12:A$200)-0),"")</f>
        <v/>
      </c>
      <c r="F28" s="20">
        <f>IFERROR(INDEX(Registro!F$12:F$200,COUNTA(Registro!A$12:A$200)-0),"")</f>
        <v/>
      </c>
    </row>
    <row r="29">
      <c r="B29" s="21">
        <f>IFERROR(INDEX(Registro!A$12:A$200,COUNTA(Registro!A$12:A$200)-1),"")</f>
        <v/>
      </c>
      <c r="C29" s="22">
        <f>IFERROR(INDEX(Registro!B$12:B$200,COUNTA(Registro!A$12:A$200)-1),"")</f>
        <v/>
      </c>
      <c r="D29" s="22">
        <f>IFERROR(INDEX(Registro!C$12:C$200,COUNTA(Registro!A$12:A$200)-1),"")</f>
        <v/>
      </c>
      <c r="E29" s="22">
        <f>IFERROR(INDEX(Registro!E$12:E$200,COUNTA(Registro!A$12:A$200)-1),"")</f>
        <v/>
      </c>
      <c r="F29" s="22">
        <f>IFERROR(INDEX(Registro!F$12:F$200,COUNTA(Registro!A$12:A$200)-1),"")</f>
        <v/>
      </c>
    </row>
    <row r="30">
      <c r="B30" s="19">
        <f>IFERROR(INDEX(Registro!A$12:A$200,COUNTA(Registro!A$12:A$200)-2),"")</f>
        <v/>
      </c>
      <c r="C30" s="20">
        <f>IFERROR(INDEX(Registro!B$12:B$200,COUNTA(Registro!A$12:A$200)-2),"")</f>
        <v/>
      </c>
      <c r="D30" s="20">
        <f>IFERROR(INDEX(Registro!C$12:C$200,COUNTA(Registro!A$12:A$200)-2),"")</f>
        <v/>
      </c>
      <c r="E30" s="20">
        <f>IFERROR(INDEX(Registro!E$12:E$200,COUNTA(Registro!A$12:A$200)-2),"")</f>
        <v/>
      </c>
      <c r="F30" s="20">
        <f>IFERROR(INDEX(Registro!F$12:F$200,COUNTA(Registro!A$12:A$200)-2),"")</f>
        <v/>
      </c>
    </row>
    <row r="31">
      <c r="B31" s="21">
        <f>IFERROR(INDEX(Registro!A$12:A$200,COUNTA(Registro!A$12:A$200)-3),"")</f>
        <v/>
      </c>
      <c r="C31" s="22">
        <f>IFERROR(INDEX(Registro!B$12:B$200,COUNTA(Registro!A$12:A$200)-3),"")</f>
        <v/>
      </c>
      <c r="D31" s="22">
        <f>IFERROR(INDEX(Registro!C$12:C$200,COUNTA(Registro!A$12:A$200)-3),"")</f>
        <v/>
      </c>
      <c r="E31" s="22">
        <f>IFERROR(INDEX(Registro!E$12:E$200,COUNTA(Registro!A$12:A$200)-3),"")</f>
        <v/>
      </c>
      <c r="F31" s="22">
        <f>IFERROR(INDEX(Registro!F$12:F$200,COUNTA(Registro!A$12:A$200)-3),"")</f>
        <v/>
      </c>
    </row>
    <row r="32">
      <c r="B32" s="19">
        <f>IFERROR(INDEX(Registro!A$12:A$200,COUNTA(Registro!A$12:A$200)-4),"")</f>
        <v/>
      </c>
      <c r="C32" s="20">
        <f>IFERROR(INDEX(Registro!B$12:B$200,COUNTA(Registro!A$12:A$200)-4),"")</f>
        <v/>
      </c>
      <c r="D32" s="20">
        <f>IFERROR(INDEX(Registro!C$12:C$200,COUNTA(Registro!A$12:A$200)-4),"")</f>
        <v/>
      </c>
      <c r="E32" s="20">
        <f>IFERROR(INDEX(Registro!E$12:E$200,COUNTA(Registro!A$12:A$200)-4),"")</f>
        <v/>
      </c>
      <c r="F32" s="20">
        <f>IFERROR(INDEX(Registro!F$12:F$200,COUNTA(Registro!A$12:A$200)-4),"")</f>
        <v/>
      </c>
    </row>
    <row r="33">
      <c r="B33" s="21">
        <f>IFERROR(INDEX(Registro!A$12:A$200,COUNTA(Registro!A$12:A$200)-5),"")</f>
        <v/>
      </c>
      <c r="C33" s="22">
        <f>IFERROR(INDEX(Registro!B$12:B$200,COUNTA(Registro!A$12:A$200)-5),"")</f>
        <v/>
      </c>
      <c r="D33" s="22">
        <f>IFERROR(INDEX(Registro!C$12:C$200,COUNTA(Registro!A$12:A$200)-5),"")</f>
        <v/>
      </c>
      <c r="E33" s="22">
        <f>IFERROR(INDEX(Registro!E$12:E$200,COUNTA(Registro!A$12:A$200)-5),"")</f>
        <v/>
      </c>
      <c r="F33" s="22">
        <f>IFERROR(INDEX(Registro!F$12:F$200,COUNTA(Registro!A$12:A$200)-5),"")</f>
        <v/>
      </c>
    </row>
    <row r="34">
      <c r="B34" s="19">
        <f>IFERROR(INDEX(Registro!A$12:A$200,COUNTA(Registro!A$12:A$200)-6),"")</f>
        <v/>
      </c>
      <c r="C34" s="20">
        <f>IFERROR(INDEX(Registro!B$12:B$200,COUNTA(Registro!A$12:A$200)-6),"")</f>
        <v/>
      </c>
      <c r="D34" s="20">
        <f>IFERROR(INDEX(Registro!C$12:C$200,COUNTA(Registro!A$12:A$200)-6),"")</f>
        <v/>
      </c>
      <c r="E34" s="20">
        <f>IFERROR(INDEX(Registro!E$12:E$200,COUNTA(Registro!A$12:A$200)-6),"")</f>
        <v/>
      </c>
      <c r="F34" s="20">
        <f>IFERROR(INDEX(Registro!F$12:F$200,COUNTA(Registro!A$12:A$200)-6),"")</f>
        <v/>
      </c>
    </row>
    <row r="35">
      <c r="B35" s="21">
        <f>IFERROR(INDEX(Registro!A$12:A$200,COUNTA(Registro!A$12:A$200)-7),"")</f>
        <v/>
      </c>
      <c r="C35" s="22">
        <f>IFERROR(INDEX(Registro!B$12:B$200,COUNTA(Registro!A$12:A$200)-7),"")</f>
        <v/>
      </c>
      <c r="D35" s="22">
        <f>IFERROR(INDEX(Registro!C$12:C$200,COUNTA(Registro!A$12:A$200)-7),"")</f>
        <v/>
      </c>
      <c r="E35" s="22">
        <f>IFERROR(INDEX(Registro!E$12:E$200,COUNTA(Registro!A$12:A$200)-7),"")</f>
        <v/>
      </c>
      <c r="F35" s="22">
        <f>IFERROR(INDEX(Registro!F$12:F$200,COUNTA(Registro!A$12:A$200)-7),"")</f>
        <v/>
      </c>
    </row>
    <row r="36">
      <c r="B36" s="19">
        <f>IFERROR(INDEX(Registro!A$12:A$200,COUNTA(Registro!A$12:A$200)-8),"")</f>
        <v/>
      </c>
      <c r="C36" s="20">
        <f>IFERROR(INDEX(Registro!B$12:B$200,COUNTA(Registro!A$12:A$200)-8),"")</f>
        <v/>
      </c>
      <c r="D36" s="20">
        <f>IFERROR(INDEX(Registro!C$12:C$200,COUNTA(Registro!A$12:A$200)-8),"")</f>
        <v/>
      </c>
      <c r="E36" s="20">
        <f>IFERROR(INDEX(Registro!E$12:E$200,COUNTA(Registro!A$12:A$200)-8),"")</f>
        <v/>
      </c>
      <c r="F36" s="20">
        <f>IFERROR(INDEX(Registro!F$12:F$200,COUNTA(Registro!A$12:A$200)-8),"")</f>
        <v/>
      </c>
    </row>
    <row r="37">
      <c r="B37" s="21">
        <f>IFERROR(INDEX(Registro!A$12:A$200,COUNTA(Registro!A$12:A$200)-9),"")</f>
        <v/>
      </c>
      <c r="C37" s="22">
        <f>IFERROR(INDEX(Registro!B$12:B$200,COUNTA(Registro!A$12:A$200)-9),"")</f>
        <v/>
      </c>
      <c r="D37" s="22">
        <f>IFERROR(INDEX(Registro!C$12:C$200,COUNTA(Registro!A$12:A$200)-9),"")</f>
        <v/>
      </c>
      <c r="E37" s="22">
        <f>IFERROR(INDEX(Registro!E$12:E$200,COUNTA(Registro!A$12:A$200)-9),"")</f>
        <v/>
      </c>
      <c r="F37" s="22">
        <f>IFERROR(INDEX(Registro!F$12:F$200,COUNTA(Registro!A$12:A$200)-9),"")</f>
        <v/>
      </c>
    </row>
  </sheetData>
  <mergeCells count="22">
    <mergeCell ref="C23:F23"/>
    <mergeCell ref="J5:K5"/>
    <mergeCell ref="B6:C7"/>
    <mergeCell ref="C19:F19"/>
    <mergeCell ref="A2:L2"/>
    <mergeCell ref="C18:F18"/>
    <mergeCell ref="F5:G5"/>
    <mergeCell ref="B17:F17"/>
    <mergeCell ref="A4:L4"/>
    <mergeCell ref="C20:F20"/>
    <mergeCell ref="D6:E7"/>
    <mergeCell ref="F6:G7"/>
    <mergeCell ref="B9:F9"/>
    <mergeCell ref="C22:F22"/>
    <mergeCell ref="H6:I7"/>
    <mergeCell ref="B5:C5"/>
    <mergeCell ref="J6:K7"/>
    <mergeCell ref="A1:L1"/>
    <mergeCell ref="D5:E5"/>
    <mergeCell ref="C21:F21"/>
    <mergeCell ref="H5:I5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5A5A6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INSTRUCCIONES DE USO</t>
        </is>
      </c>
      <c r="B1" s="2" t="n"/>
    </row>
    <row r="3">
      <c r="A3" s="5" t="inlineStr">
        <is>
          <t>HOJA 'REGISTRO'</t>
        </is>
      </c>
      <c r="B3" s="6" t="n"/>
    </row>
    <row r="4">
      <c r="A4" s="20" t="inlineStr">
        <is>
          <t>•</t>
        </is>
      </c>
      <c r="B4" s="26" t="inlineStr">
        <is>
          <t>Esta es tu hoja principal. Aquí registras cada ejercicio que hagas.</t>
        </is>
      </c>
    </row>
    <row r="5">
      <c r="A5" s="20" t="inlineStr">
        <is>
          <t>•</t>
        </is>
      </c>
      <c r="B5" s="26" t="inlineStr">
        <is>
          <t>1. La FECHA se llena automáticamente con el día de hoy.</t>
        </is>
      </c>
    </row>
    <row r="6">
      <c r="A6" s="20" t="inlineStr">
        <is>
          <t>•</t>
        </is>
      </c>
      <c r="B6" s="26" t="inlineStr">
        <is>
          <t>2. Selecciona el DÍA/RUTINA del desplegable (Lunes-Pecho, Martes-Espalda, etc.).</t>
        </is>
      </c>
    </row>
    <row r="7">
      <c r="A7" s="20" t="inlineStr">
        <is>
          <t>•</t>
        </is>
      </c>
      <c r="B7" s="26" t="inlineStr">
        <is>
          <t>3. Escribe el nombre del EJERCICIO que realizaste.</t>
        </is>
      </c>
    </row>
    <row r="8">
      <c r="A8" s="20" t="inlineStr">
        <is>
          <t>•</t>
        </is>
      </c>
      <c r="B8" s="26" t="inlineStr">
        <is>
          <t>4. Ingresa el número de SERIES, REPETICIONES y PESO usado.</t>
        </is>
      </c>
    </row>
    <row r="9">
      <c r="A9" s="20" t="inlineStr">
        <is>
          <t>•</t>
        </is>
      </c>
      <c r="B9" s="26" t="inlineStr">
        <is>
          <t>5. Opcionalmente agrega el tiempo de DESCANSO y NOTAS.</t>
        </is>
      </c>
    </row>
    <row r="10">
      <c r="A10" s="20" t="inlineStr">
        <is>
          <t>•</t>
        </is>
      </c>
      <c r="B10" s="26" t="inlineStr">
        <is>
          <t>6. Haz clic en '▶ REGISTRAR ENTRADA' para mover los datos al historial.</t>
        </is>
      </c>
    </row>
    <row r="11">
      <c r="A11" s="20" t="inlineStr">
        <is>
          <t>•</t>
        </is>
      </c>
      <c r="B11" s="26" t="inlineStr">
        <is>
          <t>7. Usa '✕ LIMPIAR CAMPOS' para borrar la zona de entrada.</t>
        </is>
      </c>
    </row>
    <row r="12">
      <c r="A12" s="20" t="inlineStr">
        <is>
          <t>•</t>
        </is>
      </c>
      <c r="B12" s="26" t="inlineStr">
        <is>
          <t>8. Usa '⟳ DESHACER ÚLTIMO' para eliminar el último registro.</t>
        </is>
      </c>
    </row>
    <row r="14">
      <c r="A14" s="5" t="inlineStr">
        <is>
          <t>HOJA 'RUTINAS'</t>
        </is>
      </c>
      <c r="B14" s="6" t="n"/>
    </row>
    <row r="15">
      <c r="A15" s="20" t="inlineStr">
        <is>
          <t>•</t>
        </is>
      </c>
      <c r="B15" s="26" t="inlineStr">
        <is>
          <t>Aquí están las rutinas predefinidas para 5 días de la semana.</t>
        </is>
      </c>
    </row>
    <row r="16">
      <c r="A16" s="20" t="inlineStr">
        <is>
          <t>•</t>
        </is>
      </c>
      <c r="B16" s="26" t="inlineStr">
        <is>
          <t>Puedes editar los ejercicios, agregar objetivos de series/reps/peso.</t>
        </is>
      </c>
    </row>
    <row r="17">
      <c r="A17" s="20" t="inlineStr">
        <is>
          <t>•</t>
        </is>
      </c>
      <c r="B17" s="26" t="inlineStr">
        <is>
          <t>Los nombres de los ejercicios te sirven de guía al llenar el Registro.</t>
        </is>
      </c>
    </row>
    <row r="19">
      <c r="A19" s="5" t="inlineStr">
        <is>
          <t>HOJA 'DASHBOARD'</t>
        </is>
      </c>
      <c r="B19" s="6" t="n"/>
    </row>
    <row r="20">
      <c r="A20" s="20" t="inlineStr">
        <is>
          <t>•</t>
        </is>
      </c>
      <c r="B20" s="26" t="inlineStr">
        <is>
          <t>Dashboard visual con KPIs, gráficos e insights de tu progreso.</t>
        </is>
      </c>
    </row>
    <row r="21">
      <c r="A21" s="20" t="inlineStr">
        <is>
          <t>•</t>
        </is>
      </c>
      <c r="B21" s="26" t="inlineStr">
        <is>
          <t>5 tarjetas de métricas clave: sesiones, último entreno, peso máx, etc.</t>
        </is>
      </c>
    </row>
    <row r="22">
      <c r="A22" s="20" t="inlineStr">
        <is>
          <t>•</t>
        </is>
      </c>
      <c r="B22" s="26" t="inlineStr">
        <is>
          <t>Gráfico de barras: sesiones por día de rutina.</t>
        </is>
      </c>
    </row>
    <row r="23">
      <c r="A23" s="20" t="inlineStr">
        <is>
          <t>•</t>
        </is>
      </c>
      <c r="B23" s="26" t="inlineStr">
        <is>
          <t>Gráfico circular: distribución porcentual de entrenamientos.</t>
        </is>
      </c>
    </row>
    <row r="24">
      <c r="A24" s="20" t="inlineStr">
        <is>
          <t>•</t>
        </is>
      </c>
      <c r="B24" s="26" t="inlineStr">
        <is>
          <t>Gráfico de línea: progresión del peso levantado por sesión.</t>
        </is>
      </c>
    </row>
    <row r="25">
      <c r="A25" s="20" t="inlineStr">
        <is>
          <t>•</t>
        </is>
      </c>
      <c r="B25" s="26" t="inlineStr">
        <is>
          <t>Sección de insights: días sin entrenar, sesiones semanales/mensuales.</t>
        </is>
      </c>
    </row>
    <row r="26">
      <c r="A26" s="20" t="inlineStr">
        <is>
          <t>•</t>
        </is>
      </c>
      <c r="B26" s="26" t="inlineStr">
        <is>
          <t>Los últimos 10 registros se muestran al final.</t>
        </is>
      </c>
    </row>
    <row r="28">
      <c r="A28" s="5" t="inlineStr">
        <is>
          <t>TIPS</t>
        </is>
      </c>
      <c r="B28" s="6" t="n"/>
    </row>
    <row r="29">
      <c r="A29" s="20" t="inlineStr">
        <is>
          <t>•</t>
        </is>
      </c>
      <c r="B29" s="26" t="inlineStr">
        <is>
          <t>Registra CADA serie por separado para un seguimiento más detallado.</t>
        </is>
      </c>
    </row>
    <row r="30">
      <c r="A30" s="20" t="inlineStr">
        <is>
          <t>•</t>
        </is>
      </c>
      <c r="B30" s="26" t="inlineStr">
        <is>
          <t>O registra el total de series/reps por ejercicio si prefieres algo rápido.</t>
        </is>
      </c>
    </row>
    <row r="31">
      <c r="A31" s="20" t="inlineStr">
        <is>
          <t>•</t>
        </is>
      </c>
      <c r="B31" s="26" t="inlineStr">
        <is>
          <t>Revisa la hoja de Progreso regularmente para ver tu avance.</t>
        </is>
      </c>
    </row>
    <row r="32">
      <c r="A32" s="20" t="inlineStr">
        <is>
          <t>•</t>
        </is>
      </c>
      <c r="B32" s="26" t="inlineStr">
        <is>
          <t>¡La constancia es la clave! Intenta entrenar al menos 3-4 días por semana.</t>
        </is>
      </c>
    </row>
  </sheetData>
  <mergeCells count="5">
    <mergeCell ref="A19:B19"/>
    <mergeCell ref="A28:B28"/>
    <mergeCell ref="A14:B14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2026-02-12T20:37:43Z</dcterms:created>
  <dcterms:modified xsi:type="dcterms:W3CDTF">2026-02-12T20:37:43Z</dcterms:modified>
</cp:coreProperties>
</file>